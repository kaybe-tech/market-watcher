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/>
  <xr:revisionPtr revIDLastSave="0" documentId="13_ncr:1_{BED7B3D5-D62E-4F2A-B7BD-DA8C6609BF12}" xr6:coauthVersionLast="47" xr6:coauthVersionMax="47" xr10:uidLastSave="{00000000-0000-0000-0000-000000000000}"/>
  <bookViews>
    <workbookView xWindow="28680" yWindow="-90" windowWidth="29040" windowHeight="16440" tabRatio="636" xr2:uid="{00000000-000D-0000-FFFF-FFFF00000000}"/>
  </bookViews>
  <sheets>
    <sheet name="Instrucciones" sheetId="13" r:id="rId1"/>
    <sheet name="1.IS" sheetId="1" r:id="rId2"/>
    <sheet name="4.Valoración" sheetId="5" r:id="rId3"/>
    <sheet name="5.Red Flags" sheetId="14" r:id="rId4"/>
    <sheet name="7.TIKR_IS" sheetId="8" r:id="rId5"/>
    <sheet name="8.TIKR_BS" sheetId="10" r:id="rId6"/>
    <sheet name="9.TIKR_CF" sheetId="11" r:id="rId7"/>
    <sheet name="10.Glosario" sheetId="6" r:id="rId8"/>
    <sheet name="TIKR_Cálculos" sheetId="12" state="hidden" r:id="rId9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4" i="5" l="1"/>
  <c r="F4" i="5"/>
  <c r="E4" i="5"/>
  <c r="D4" i="5"/>
  <c r="C4" i="5"/>
  <c r="C12" i="5" s="1"/>
  <c r="B4" i="5"/>
  <c r="B12" i="5" s="1"/>
  <c r="K2" i="1"/>
  <c r="K4" i="14" s="1"/>
  <c r="J2" i="1"/>
  <c r="J4" i="14" s="1"/>
  <c r="I2" i="1"/>
  <c r="I4" i="14" s="1"/>
  <c r="H2" i="1"/>
  <c r="H4" i="14" s="1"/>
  <c r="G2" i="1"/>
  <c r="G4" i="14" s="1"/>
  <c r="F2" i="1"/>
  <c r="F4" i="14" s="1"/>
  <c r="E2" i="1"/>
  <c r="E4" i="14" s="1"/>
  <c r="D2" i="1"/>
  <c r="D4" i="14" s="1"/>
  <c r="C2" i="1"/>
  <c r="C4" i="14" s="1"/>
  <c r="B2" i="1"/>
  <c r="B4" i="14" s="1"/>
  <c r="K26" i="12" l="1"/>
  <c r="K29" i="12" s="1"/>
  <c r="K21" i="1" s="1"/>
  <c r="J26" i="12"/>
  <c r="J29" i="12" s="1"/>
  <c r="J21" i="1" s="1"/>
  <c r="I26" i="12"/>
  <c r="I29" i="12" s="1"/>
  <c r="I21" i="1" s="1"/>
  <c r="H26" i="12"/>
  <c r="H29" i="12" s="1"/>
  <c r="H21" i="1" s="1"/>
  <c r="G26" i="12"/>
  <c r="G29" i="12" s="1"/>
  <c r="G21" i="1" s="1"/>
  <c r="F26" i="12"/>
  <c r="F29" i="12" s="1"/>
  <c r="F21" i="1" s="1"/>
  <c r="E26" i="12"/>
  <c r="E29" i="12" s="1"/>
  <c r="E21" i="1" s="1"/>
  <c r="D26" i="12"/>
  <c r="D29" i="12" s="1"/>
  <c r="D21" i="1" s="1"/>
  <c r="C26" i="12"/>
  <c r="C29" i="12" s="1"/>
  <c r="C21" i="1" s="1"/>
  <c r="B26" i="12"/>
  <c r="B29" i="12" s="1"/>
  <c r="B21" i="1" s="1"/>
  <c r="K20" i="1"/>
  <c r="J20" i="1"/>
  <c r="I20" i="1"/>
  <c r="H20" i="1"/>
  <c r="G20" i="1"/>
  <c r="F20" i="1"/>
  <c r="E20" i="1"/>
  <c r="D20" i="1"/>
  <c r="C20" i="1"/>
  <c r="B20" i="1"/>
  <c r="K10" i="12"/>
  <c r="J10" i="12"/>
  <c r="I10" i="12"/>
  <c r="H10" i="12"/>
  <c r="G10" i="12"/>
  <c r="F10" i="12"/>
  <c r="E10" i="12"/>
  <c r="D10" i="12"/>
  <c r="C10" i="12"/>
  <c r="K9" i="12"/>
  <c r="J9" i="12"/>
  <c r="I9" i="12"/>
  <c r="H9" i="12"/>
  <c r="G9" i="12"/>
  <c r="F9" i="12"/>
  <c r="E9" i="12"/>
  <c r="D9" i="12"/>
  <c r="C9" i="12"/>
  <c r="B9" i="12"/>
  <c r="K8" i="12"/>
  <c r="J8" i="12"/>
  <c r="I8" i="12"/>
  <c r="H8" i="12"/>
  <c r="G8" i="12"/>
  <c r="F8" i="12"/>
  <c r="E8" i="12"/>
  <c r="D8" i="12"/>
  <c r="C8" i="12"/>
  <c r="B8" i="12"/>
  <c r="K11" i="12"/>
  <c r="J11" i="12"/>
  <c r="I11" i="12"/>
  <c r="H11" i="12"/>
  <c r="G11" i="12"/>
  <c r="F11" i="12"/>
  <c r="E11" i="12"/>
  <c r="D11" i="12"/>
  <c r="C11" i="12"/>
  <c r="B11" i="12"/>
  <c r="K16" i="1"/>
  <c r="L16" i="1" s="1"/>
  <c r="M16" i="1" s="1"/>
  <c r="N16" i="1" s="1"/>
  <c r="O16" i="1" s="1"/>
  <c r="P16" i="1" s="1"/>
  <c r="J16" i="1"/>
  <c r="I16" i="1"/>
  <c r="H16" i="1"/>
  <c r="G16" i="1"/>
  <c r="F16" i="1"/>
  <c r="E16" i="1"/>
  <c r="D16" i="1"/>
  <c r="C16" i="1"/>
  <c r="B16" i="1"/>
  <c r="K7" i="1"/>
  <c r="J7" i="1"/>
  <c r="J8" i="1" s="1"/>
  <c r="I7" i="1"/>
  <c r="I8" i="1" s="1"/>
  <c r="H7" i="1"/>
  <c r="G7" i="1"/>
  <c r="F7" i="1"/>
  <c r="E7" i="1"/>
  <c r="D7" i="1"/>
  <c r="C7" i="1"/>
  <c r="B7" i="1"/>
  <c r="K5" i="1"/>
  <c r="J5" i="1"/>
  <c r="I5" i="1"/>
  <c r="H5" i="1"/>
  <c r="G5" i="1"/>
  <c r="F5" i="1"/>
  <c r="E5" i="1"/>
  <c r="D5" i="1"/>
  <c r="C5" i="1"/>
  <c r="B5" i="1"/>
  <c r="K8" i="1" l="1"/>
  <c r="B8" i="1"/>
  <c r="C8" i="1"/>
  <c r="D8" i="1"/>
  <c r="E8" i="1"/>
  <c r="F8" i="1"/>
  <c r="G8" i="1"/>
  <c r="H8" i="1"/>
  <c r="E9" i="1"/>
  <c r="E22" i="12" s="1"/>
  <c r="G9" i="1"/>
  <c r="G18" i="1" s="1"/>
  <c r="G23" i="12" s="1"/>
  <c r="J9" i="1"/>
  <c r="J22" i="12" s="1"/>
  <c r="F9" i="1"/>
  <c r="F22" i="12" s="1"/>
  <c r="D9" i="1"/>
  <c r="D22" i="12" s="1"/>
  <c r="H9" i="1"/>
  <c r="H18" i="1" s="1"/>
  <c r="H23" i="12" s="1"/>
  <c r="K9" i="1"/>
  <c r="K18" i="1" s="1"/>
  <c r="K23" i="12" s="1"/>
  <c r="H22" i="12"/>
  <c r="B9" i="1"/>
  <c r="B17" i="1" s="1"/>
  <c r="C9" i="1"/>
  <c r="C17" i="1" s="1"/>
  <c r="D18" i="1"/>
  <c r="D23" i="12" s="1"/>
  <c r="I9" i="1"/>
  <c r="H17" i="1"/>
  <c r="B10" i="12"/>
  <c r="K28" i="12"/>
  <c r="B28" i="12"/>
  <c r="E18" i="1" l="1"/>
  <c r="E23" i="12" s="1"/>
  <c r="J17" i="1"/>
  <c r="J18" i="1"/>
  <c r="J23" i="12" s="1"/>
  <c r="G22" i="12"/>
  <c r="G17" i="1"/>
  <c r="E17" i="1"/>
  <c r="S5" i="1"/>
  <c r="F18" i="1"/>
  <c r="F23" i="12" s="1"/>
  <c r="D17" i="1"/>
  <c r="F17" i="1"/>
  <c r="F25" i="12"/>
  <c r="F28" i="12"/>
  <c r="H25" i="12"/>
  <c r="H28" i="12"/>
  <c r="C25" i="12"/>
  <c r="C28" i="12"/>
  <c r="J25" i="12"/>
  <c r="J28" i="12"/>
  <c r="G25" i="12"/>
  <c r="G28" i="12"/>
  <c r="I25" i="12"/>
  <c r="I28" i="12"/>
  <c r="D25" i="12"/>
  <c r="D28" i="12"/>
  <c r="E25" i="12"/>
  <c r="E28" i="12"/>
  <c r="K22" i="12"/>
  <c r="K17" i="1"/>
  <c r="I17" i="1"/>
  <c r="C22" i="12"/>
  <c r="C18" i="1"/>
  <c r="C23" i="12" s="1"/>
  <c r="B22" i="12"/>
  <c r="B18" i="1"/>
  <c r="R18" i="1" s="1"/>
  <c r="L2" i="1"/>
  <c r="K25" i="12"/>
  <c r="R16" i="1"/>
  <c r="B25" i="12"/>
  <c r="I22" i="12"/>
  <c r="I18" i="1"/>
  <c r="I23" i="12" s="1"/>
  <c r="L10" i="12"/>
  <c r="C2" i="14"/>
  <c r="B19" i="12"/>
  <c r="J19" i="12"/>
  <c r="B3" i="1"/>
  <c r="B5" i="14" s="1"/>
  <c r="K19" i="12"/>
  <c r="I19" i="12"/>
  <c r="H19" i="12"/>
  <c r="G19" i="12"/>
  <c r="F19" i="12"/>
  <c r="E19" i="12"/>
  <c r="D19" i="12"/>
  <c r="B4" i="12"/>
  <c r="K11" i="1"/>
  <c r="J11" i="1"/>
  <c r="J13" i="1" s="1"/>
  <c r="I11" i="1"/>
  <c r="I13" i="1" s="1"/>
  <c r="H11" i="1"/>
  <c r="H13" i="1" s="1"/>
  <c r="G11" i="1"/>
  <c r="G13" i="1" s="1"/>
  <c r="F11" i="1"/>
  <c r="F13" i="1" s="1"/>
  <c r="E11" i="1"/>
  <c r="E13" i="1" s="1"/>
  <c r="D11" i="1"/>
  <c r="D13" i="1" s="1"/>
  <c r="C11" i="1"/>
  <c r="C13" i="1" s="1"/>
  <c r="B11" i="1"/>
  <c r="B13" i="1" s="1"/>
  <c r="K3" i="1"/>
  <c r="J3" i="1"/>
  <c r="I3" i="1"/>
  <c r="H3" i="1"/>
  <c r="G3" i="1"/>
  <c r="F3" i="1"/>
  <c r="E3" i="1"/>
  <c r="D3" i="1"/>
  <c r="C3" i="1"/>
  <c r="R17" i="1" l="1"/>
  <c r="K13" i="1"/>
  <c r="H10" i="1"/>
  <c r="H5" i="14"/>
  <c r="E10" i="1"/>
  <c r="E5" i="14"/>
  <c r="J10" i="1"/>
  <c r="J5" i="14"/>
  <c r="I10" i="1"/>
  <c r="I5" i="14"/>
  <c r="K10" i="1"/>
  <c r="K5" i="14"/>
  <c r="M2" i="1"/>
  <c r="L25" i="12"/>
  <c r="B23" i="12"/>
  <c r="F10" i="1"/>
  <c r="F5" i="14"/>
  <c r="G10" i="1"/>
  <c r="G5" i="14"/>
  <c r="C10" i="1"/>
  <c r="C5" i="14"/>
  <c r="D10" i="1"/>
  <c r="D5" i="14"/>
  <c r="B6" i="1"/>
  <c r="B10" i="1"/>
  <c r="T5" i="1"/>
  <c r="G12" i="1"/>
  <c r="J12" i="1"/>
  <c r="I12" i="1"/>
  <c r="D12" i="1"/>
  <c r="F12" i="1"/>
  <c r="H12" i="1"/>
  <c r="K12" i="1"/>
  <c r="C12" i="1"/>
  <c r="E12" i="1"/>
  <c r="H2" i="14"/>
  <c r="J2" i="14"/>
  <c r="K2" i="14"/>
  <c r="B2" i="14"/>
  <c r="D2" i="14"/>
  <c r="E2" i="14"/>
  <c r="F2" i="14"/>
  <c r="G2" i="14"/>
  <c r="I2" i="14"/>
  <c r="C19" i="12"/>
  <c r="B14" i="12"/>
  <c r="C6" i="1"/>
  <c r="I6" i="1"/>
  <c r="H6" i="1"/>
  <c r="K4" i="1"/>
  <c r="D6" i="1"/>
  <c r="B3" i="5"/>
  <c r="L8" i="12"/>
  <c r="L9" i="12"/>
  <c r="L11" i="12"/>
  <c r="F6" i="1"/>
  <c r="E6" i="1"/>
  <c r="J6" i="1"/>
  <c r="I4" i="1"/>
  <c r="J4" i="1"/>
  <c r="G6" i="1"/>
  <c r="K6" i="1"/>
  <c r="B7" i="12"/>
  <c r="B13" i="5" l="1"/>
  <c r="B5" i="5"/>
  <c r="N2" i="1"/>
  <c r="M25" i="12"/>
  <c r="L22" i="12"/>
  <c r="G21" i="12"/>
  <c r="E21" i="12"/>
  <c r="H15" i="12"/>
  <c r="I20" i="12"/>
  <c r="F21" i="12"/>
  <c r="H21" i="12"/>
  <c r="I21" i="12"/>
  <c r="K21" i="12"/>
  <c r="I15" i="12"/>
  <c r="J20" i="12"/>
  <c r="D21" i="12"/>
  <c r="J15" i="12"/>
  <c r="K20" i="12"/>
  <c r="J21" i="12"/>
  <c r="C14" i="12"/>
  <c r="O2" i="1" l="1"/>
  <c r="N25" i="12"/>
  <c r="D14" i="12"/>
  <c r="C7" i="12"/>
  <c r="P2" i="1" l="1"/>
  <c r="P25" i="12" s="1"/>
  <c r="O25" i="12"/>
  <c r="E14" i="12"/>
  <c r="D7" i="12"/>
  <c r="F4" i="12"/>
  <c r="E4" i="12"/>
  <c r="D4" i="12"/>
  <c r="C4" i="12"/>
  <c r="F14" i="12" l="1"/>
  <c r="E7" i="12"/>
  <c r="K15" i="5"/>
  <c r="H15" i="5"/>
  <c r="G14" i="12" l="1"/>
  <c r="F7" i="12"/>
  <c r="H14" i="12" l="1"/>
  <c r="I7" i="12"/>
  <c r="G7" i="12"/>
  <c r="I14" i="12" l="1"/>
  <c r="J7" i="12"/>
  <c r="H7" i="12"/>
  <c r="C4" i="1"/>
  <c r="C20" i="12" s="1"/>
  <c r="D4" i="1"/>
  <c r="E4" i="1"/>
  <c r="F4" i="1"/>
  <c r="G4" i="1"/>
  <c r="H4" i="1"/>
  <c r="C21" i="12"/>
  <c r="L21" i="12" s="1"/>
  <c r="B10" i="14" s="1"/>
  <c r="E15" i="12" l="1"/>
  <c r="F20" i="12"/>
  <c r="D15" i="12"/>
  <c r="E20" i="12"/>
  <c r="C15" i="12"/>
  <c r="D20" i="12"/>
  <c r="G15" i="12"/>
  <c r="H20" i="12"/>
  <c r="F15" i="12"/>
  <c r="G20" i="12"/>
  <c r="J14" i="12"/>
  <c r="B2" i="5"/>
  <c r="K7" i="12"/>
  <c r="S2" i="1"/>
  <c r="S4" i="1"/>
  <c r="T4" i="1" s="1"/>
  <c r="S6" i="1"/>
  <c r="T6" i="1" s="1"/>
  <c r="L11" i="1" s="1"/>
  <c r="B15" i="12"/>
  <c r="S3" i="1"/>
  <c r="T3" i="1" s="1"/>
  <c r="B11" i="14"/>
  <c r="L12" i="1" l="1"/>
  <c r="L20" i="12"/>
  <c r="B9" i="14" s="1"/>
  <c r="L3" i="1"/>
  <c r="M4" i="1"/>
  <c r="N4" i="1"/>
  <c r="O4" i="1"/>
  <c r="L4" i="1"/>
  <c r="P4" i="1"/>
  <c r="M11" i="1"/>
  <c r="C3" i="5"/>
  <c r="L5" i="1" l="1"/>
  <c r="D3" i="5"/>
  <c r="M12" i="1"/>
  <c r="M3" i="1"/>
  <c r="N11" i="1"/>
  <c r="L7" i="1" l="1"/>
  <c r="L8" i="1" s="1"/>
  <c r="L9" i="1"/>
  <c r="L13" i="1" s="1"/>
  <c r="N12" i="1"/>
  <c r="N3" i="1"/>
  <c r="M5" i="1"/>
  <c r="L6" i="1"/>
  <c r="E3" i="5"/>
  <c r="O11" i="1"/>
  <c r="O12" i="1" s="1"/>
  <c r="M7" i="1" l="1"/>
  <c r="M8" i="1" s="1"/>
  <c r="C13" i="5"/>
  <c r="D13" i="5" s="1"/>
  <c r="C5" i="5"/>
  <c r="L26" i="12"/>
  <c r="L10" i="1"/>
  <c r="N5" i="1"/>
  <c r="O3" i="1"/>
  <c r="M6" i="1"/>
  <c r="P11" i="1"/>
  <c r="F3" i="5"/>
  <c r="N7" i="1" l="1"/>
  <c r="N8" i="1" s="1"/>
  <c r="M9" i="1"/>
  <c r="B17" i="5"/>
  <c r="L18" i="1"/>
  <c r="D12" i="5"/>
  <c r="M13" i="1"/>
  <c r="D5" i="5" s="1"/>
  <c r="C17" i="5" s="1"/>
  <c r="G3" i="5"/>
  <c r="P12" i="1"/>
  <c r="N6" i="1"/>
  <c r="O5" i="1"/>
  <c r="P3" i="1"/>
  <c r="B3" i="12"/>
  <c r="N9" i="1" l="1"/>
  <c r="O7" i="1"/>
  <c r="O8" i="1" s="1"/>
  <c r="B16" i="5"/>
  <c r="M26" i="12"/>
  <c r="C16" i="5" s="1"/>
  <c r="M10" i="1"/>
  <c r="N13" i="1"/>
  <c r="E5" i="5" s="1"/>
  <c r="D17" i="5" s="1"/>
  <c r="L23" i="12"/>
  <c r="B12" i="14" s="1"/>
  <c r="O6" i="1"/>
  <c r="P5" i="1"/>
  <c r="C2" i="5"/>
  <c r="B15" i="5" s="1"/>
  <c r="C3" i="12"/>
  <c r="O9" i="1" l="1"/>
  <c r="P7" i="1"/>
  <c r="P8" i="1" s="1"/>
  <c r="N26" i="12"/>
  <c r="D16" i="5" s="1"/>
  <c r="M18" i="1"/>
  <c r="N10" i="1"/>
  <c r="O13" i="1"/>
  <c r="F5" i="5" s="1"/>
  <c r="E17" i="5" s="1"/>
  <c r="P6" i="1"/>
  <c r="D3" i="12"/>
  <c r="D2" i="5"/>
  <c r="C15" i="5" s="1"/>
  <c r="P9" i="1" l="1"/>
  <c r="O26" i="12"/>
  <c r="E16" i="5" s="1"/>
  <c r="N18" i="1"/>
  <c r="O10" i="1"/>
  <c r="P13" i="1"/>
  <c r="G5" i="5" s="1"/>
  <c r="F17" i="5" s="1"/>
  <c r="E2" i="5"/>
  <c r="D15" i="5" s="1"/>
  <c r="E3" i="12"/>
  <c r="P26" i="12" l="1"/>
  <c r="F16" i="5" s="1"/>
  <c r="O18" i="1"/>
  <c r="P10" i="1"/>
  <c r="F3" i="12"/>
  <c r="F2" i="5"/>
  <c r="E15" i="5" s="1"/>
  <c r="P18" i="1" l="1"/>
  <c r="G2" i="5"/>
  <c r="F15" i="5" s="1"/>
  <c r="T2" i="1"/>
  <c r="D18" i="5" l="1"/>
  <c r="D19" i="5" s="1"/>
  <c r="B18" i="5"/>
  <c r="B19" i="5" s="1"/>
  <c r="C18" i="5"/>
  <c r="C19" i="5" s="1"/>
  <c r="E18" i="5" l="1"/>
  <c r="E19" i="5" s="1"/>
  <c r="K17" i="5" l="1"/>
  <c r="D9" i="5" s="1"/>
  <c r="K16" i="5"/>
  <c r="F18" i="5" l="1"/>
  <c r="F19" i="5" s="1"/>
  <c r="K1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3" authorId="0" shapeId="0" xr:uid="{44486C3A-5C52-4790-B6F8-B07EBC9BB77D}">
      <text>
        <r>
          <rPr>
            <sz val="9"/>
            <color rgb="FF000000"/>
            <rFont val="Tahoma"/>
            <family val="2"/>
          </rPr>
          <t xml:space="preserve">Sales = Revenue = Net Revenue = Ventas =  Ventas Netas = Cifra de negocio
</t>
        </r>
      </text>
    </comment>
    <comment ref="R3" authorId="0" shapeId="0" xr:uid="{A8AFBDE3-D2C0-4451-84A1-205325C497FC}">
      <text>
        <r>
          <rPr>
            <sz val="9"/>
            <color rgb="FF000000"/>
            <rFont val="Tahoma"/>
            <family val="2"/>
          </rPr>
          <t xml:space="preserve">Crecimiento anual estimado de ventas para los próximos 5 años fiscales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Por defecto usa el del año fiscal más reciente</t>
        </r>
      </text>
    </comment>
    <comment ref="R4" authorId="0" shapeId="0" xr:uid="{5D5A1CFF-E654-469D-98F3-42551D867309}">
      <text>
        <r>
          <rPr>
            <sz val="9"/>
            <color rgb="FF000000"/>
            <rFont val="Tahoma"/>
            <family val="2"/>
          </rPr>
          <t>Margen FFO  estimado para  los próximos 5 años fiscales
¡Ojo! Normalizar el margen eliminando gastos e ingresos extraordinarios
Por defecto, la plantillla calcula como referencia el promedio de los 10 últimos años fiscales, debes modificarlo manualmente si crees que esto es incorrecto</t>
        </r>
      </text>
    </comment>
    <comment ref="R5" authorId="0" shapeId="0" xr:uid="{C2CD7A5E-642B-4FE4-8957-4B10EEE093F0}">
      <text>
        <r>
          <rPr>
            <sz val="9"/>
            <color rgb="FF000000"/>
            <rFont val="Tahoma"/>
            <family val="2"/>
          </rPr>
          <t>Margen FFO  estimado para  los próximos 5 años fiscales
¡Ojo! Normalizar el margen eliminando gastos e ingresos extraordinarios
Por defecto, la plantillla calcula como referencia el promedio de los 10 últimos años fiscales, debes modificarlo manualmente si crees que esto es incorrecto</t>
        </r>
      </text>
    </comment>
    <comment ref="R6" authorId="0" shapeId="0" xr:uid="{EEF8CCB8-490F-40D4-9826-DD01275D382A}">
      <text>
        <r>
          <rPr>
            <b/>
            <sz val="9"/>
            <color indexed="81"/>
            <rFont val="Tahoma"/>
            <family val="2"/>
          </rPr>
          <t>IDC:</t>
        </r>
        <r>
          <rPr>
            <sz val="9"/>
            <color indexed="81"/>
            <rFont val="Tahoma"/>
            <family val="2"/>
          </rPr>
          <t xml:space="preserve">
Por defecto usa la media de los 6 últimos años fiscales</t>
        </r>
      </text>
    </comment>
    <comment ref="A9" authorId="0" shapeId="0" xr:uid="{0CBC020B-354C-44F5-AEF4-DD955D16E3AA}">
      <text>
        <r>
          <rPr>
            <sz val="9"/>
            <color indexed="81"/>
            <rFont val="Tahoma"/>
            <family val="2"/>
          </rPr>
          <t>Número total de acciones diluidas</t>
        </r>
      </text>
    </comment>
    <comment ref="A11" authorId="0" shapeId="0" xr:uid="{2C780190-F3CB-4DE5-8AED-A1838AC6E740}">
      <text>
        <r>
          <rPr>
            <sz val="9"/>
            <color indexed="81"/>
            <rFont val="Tahoma"/>
            <family val="2"/>
          </rPr>
          <t>Número total de acciones diluidas</t>
        </r>
      </text>
    </comment>
    <comment ref="A17" authorId="0" shapeId="0" xr:uid="{F01F94B8-805F-4DDE-81B2-4BD298B0EB2C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Return on Assets / Retorno sobre los activos
ROA = Net Income / Total Assets</t>
        </r>
      </text>
    </comment>
    <comment ref="A18" authorId="0" shapeId="0" xr:uid="{DC1A8897-B7FD-41FD-84A5-7CE3AA06C67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Return on Equity / Retorno sobre el valor en libros
ROE = Net Income / Total Equity</t>
        </r>
      </text>
    </comment>
    <comment ref="A21" authorId="0" shapeId="0" xr:uid="{D49F4C06-2531-4B26-954B-F8D2D7FDDFA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 el ratio más usado para medir el nivel de deuda de las financieras
Se calcula dividiendo "Total Liabilities" entre "Total Shareholders' Equity"
Para saber si es "alto" o "bajo", debes compararlo con el de sus competidores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11" authorId="0" shapeId="0" xr:uid="{BA4148FA-2FB6-4427-98EB-13EBADA7F56B}">
      <text>
        <r>
          <rPr>
            <sz val="9"/>
            <color indexed="81"/>
            <rFont val="Tahoma"/>
            <family val="2"/>
          </rPr>
          <t xml:space="preserve">Last Twelve Months - Últimos 12 meses
Estos múltiplos se calculan con los datos financieros del último año fiscal disponible
</t>
        </r>
      </text>
    </comment>
    <comment ref="C11" authorId="0" shapeId="0" xr:uid="{DA113695-767D-40F7-A372-83279917C8EB}">
      <text>
        <r>
          <rPr>
            <sz val="9"/>
            <color indexed="81"/>
            <rFont val="Tahoma"/>
            <family val="2"/>
          </rPr>
          <t>Se calculan con las estimaciones del primer año disponible</t>
        </r>
      </text>
    </comment>
    <comment ref="H15" authorId="0" shapeId="0" xr:uid="{75BBEC35-CB27-46B5-A445-13B454896105}">
      <text>
        <r>
          <rPr>
            <b/>
            <sz val="9"/>
            <color rgb="FF000000"/>
            <rFont val="Tahoma"/>
            <family val="2"/>
          </rPr>
          <t>IDC: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CAGR = Compounded Annual Growth Rate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 decir, el porcentaje de retorno anualizado esperado para la inversión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2" authorId="0" shapeId="0" xr:uid="{43A56478-AC5C-466C-8DE2-C4B978869E47}">
      <text>
        <r>
          <rPr>
            <b/>
            <sz val="9"/>
            <color indexed="81"/>
            <rFont val="Tahoma"/>
            <family val="2"/>
          </rPr>
          <t>IDC:</t>
        </r>
        <r>
          <rPr>
            <sz val="9"/>
            <color indexed="81"/>
            <rFont val="Tahoma"/>
            <family val="2"/>
          </rPr>
          <t xml:space="preserve">
Conviene revisar los en los que hay porcentajes marcados en rojo
El % de emisión de acciones hay que ponerlo en contexto ya que varía según el sector. Lo mejor es compararlo con competidores dirrectos ¿abusan o es lo habitual en el sector?
Si el campo está en blanco, es porque esa partida no existe en ese año fiscal</t>
        </r>
      </text>
    </comment>
    <comment ref="A4" authorId="0" shapeId="0" xr:uid="{3EC1748C-ED7D-4334-8C56-5EF81A2E48F6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Pagos en acciones / Stock-based compensation</t>
        </r>
      </text>
    </comment>
    <comment ref="A5" authorId="0" shapeId="0" xr:uid="{BF008247-EBCA-490A-8BF2-B84DF1987E27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Amplilaciones de capital</t>
        </r>
      </text>
    </comment>
    <comment ref="A12" authorId="0" shapeId="0" xr:uid="{850F89B4-B224-4CBF-89CB-03FC75196CAD}">
      <text>
        <r>
          <rPr>
            <b/>
            <sz val="9"/>
            <color indexed="81"/>
            <rFont val="Tahoma"/>
            <family val="2"/>
          </rPr>
          <t>IDC:</t>
        </r>
        <r>
          <rPr>
            <sz val="9"/>
            <color indexed="81"/>
            <rFont val="Tahoma"/>
            <family val="2"/>
          </rPr>
          <t xml:space="preserve">
Este ratio es MUY relativo, ya que para una empresa cíclica un nivel &gt;1x podría ser excesivo, mientras que para ottra empresa muy estable, como una cadena de supermercados, podría aguantar &gt;4x sin problemas
Como referencia, el ratio deuda Neta / EBITDA medio de las empresas que componen ell S&amp;P 500 en 2022 fue de 2,2x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3" authorId="0" shapeId="0" xr:uid="{65389CF9-C440-494C-A3C7-72254C0108CA}">
      <text>
        <r>
          <rPr>
            <sz val="9"/>
            <color indexed="81"/>
            <rFont val="Tahoma"/>
            <family val="2"/>
          </rPr>
          <t>Ojo, hay que incluir TODOS los gastos de ventas y operativos del negocio:
- Costes de ventas (Cost of sales o Costs of goods sold)
- Operating Costs (incluyendo SG&amp;A, R&amp;D y todos los gastos operativos que correspondan)</t>
        </r>
      </text>
    </comment>
    <comment ref="B10" authorId="0" shapeId="0" xr:uid="{D2B3C4B2-B06B-4E53-9A84-2CCFA295901B}">
      <text>
        <r>
          <rPr>
            <sz val="9"/>
            <color indexed="81"/>
            <rFont val="Tahoma"/>
            <family val="2"/>
          </rPr>
          <t>Si el resultado es negativo, implica que la compañía tiene caja neta (más caja que deuda)</t>
        </r>
      </text>
    </comment>
    <comment ref="C10" authorId="0" shapeId="0" xr:uid="{111D002C-66C0-4D45-AA67-7D6564C3EE44}">
      <text>
        <r>
          <rPr>
            <sz val="9"/>
            <color indexed="81"/>
            <rFont val="Tahoma"/>
            <family val="2"/>
          </rPr>
          <t>Para la deuda SOLO incluímos la deuda financiera que conlleve el pago de intereses y pueda hacer quebrar la empresa.
Normalmente este tipo de deuda son préstamos bancarios, bonos y notas.
Para el "Cash" incluimos las siguientes partidas dentro de "Current Assets" (Activo Corriente):
Cash = Cash + Cash &amp; Equivalents + Marketable Securities
Algunas empresas usan un nombre similar para "Marketable Securities" como "short-term investments".</t>
        </r>
      </text>
    </comment>
    <comment ref="C12" authorId="0" shapeId="0" xr:uid="{20A7DF0C-EB9D-4B19-99C4-195B997CF099}">
      <text>
        <r>
          <rPr>
            <sz val="9"/>
            <color rgb="FF000000"/>
            <rFont val="Tahoma"/>
            <family val="2"/>
          </rPr>
          <t>En caso de existir acciones preferentes y/o intereses minoritarios, también hay que incluir la valoración a mercado de estas partidas y sumárselas al EV</t>
        </r>
      </text>
    </comment>
    <comment ref="D12" authorId="0" shapeId="0" xr:uid="{20C33B7E-FF9A-424F-BFE9-CB4AD4B9BEBF}">
      <text>
        <r>
          <rPr>
            <sz val="9"/>
            <color indexed="81"/>
            <rFont val="Tahoma"/>
            <family val="2"/>
          </rPr>
          <t>Solo para empresas con posición de caja neta (Caja &gt; Deuda financiera neta)
La caja neta REDUCE el EV de la empresa</t>
        </r>
      </text>
    </comment>
    <comment ref="C25" authorId="0" shapeId="0" xr:uid="{F0B1CB8D-3A90-44B9-B8C9-A9A29FF15765}">
      <text>
        <r>
          <rPr>
            <sz val="9"/>
            <color indexed="81"/>
            <rFont val="Tahoma"/>
            <family val="2"/>
          </rPr>
          <t>T = Tax Rate = Effective Tax Rate</t>
        </r>
      </text>
    </comment>
    <comment ref="D25" authorId="0" shapeId="0" xr:uid="{3989015F-C005-4349-9C59-CAC4BD3B1717}">
      <text>
        <r>
          <rPr>
            <sz val="9"/>
            <color indexed="81"/>
            <rFont val="Tahoma"/>
            <family val="2"/>
          </rPr>
          <t>Deuda financiera total = Short Term Debt + Long Term Debt
Los operating leases también incluimos tanto a Corto Plazo como a Largo Plazo, en los casos que aparezcan detallados en el balance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1" authorId="0" shapeId="0" xr:uid="{E1E4086A-224C-4BC2-B66E-A35982EFCD5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Número positivo = repago neto de deuda
Número negativo = emisión neta de deuda</t>
        </r>
      </text>
    </comment>
  </commentList>
</comments>
</file>

<file path=xl/sharedStrings.xml><?xml version="1.0" encoding="utf-8"?>
<sst xmlns="http://schemas.openxmlformats.org/spreadsheetml/2006/main" count="177" uniqueCount="137">
  <si>
    <t>Net Income</t>
  </si>
  <si>
    <t>EBITDA</t>
  </si>
  <si>
    <t>EBIT</t>
  </si>
  <si>
    <t>FCF</t>
  </si>
  <si>
    <t>Sales</t>
  </si>
  <si>
    <t>Market cap</t>
  </si>
  <si>
    <t xml:space="preserve">    Y/Y Growth %</t>
  </si>
  <si>
    <t>EBT</t>
  </si>
  <si>
    <t>EPS</t>
  </si>
  <si>
    <t>Precio por acción actual</t>
  </si>
  <si>
    <t>PER</t>
  </si>
  <si>
    <t>Market Cap. / Beneficio Neto</t>
  </si>
  <si>
    <t>Precio por acción / EPS</t>
  </si>
  <si>
    <t>Enterprise Value (EV)</t>
  </si>
  <si>
    <t>Market Cap - Caja Neta</t>
  </si>
  <si>
    <t>Market Cap.</t>
  </si>
  <si>
    <t>Nº de acciones totales diluídas x Precio por acción</t>
  </si>
  <si>
    <t>Net Income + Interests (net) + Taxes + Depreciation + Amortization</t>
  </si>
  <si>
    <t>Ingresos - Gastos de Explotación</t>
  </si>
  <si>
    <t>EBIT + D&amp;A</t>
  </si>
  <si>
    <t>Net Income + Interests (net) + Taxes</t>
  </si>
  <si>
    <t>Ingresos - Gastos de Explotación - D&amp;A</t>
  </si>
  <si>
    <t>EBITDA - D&amp;A</t>
  </si>
  <si>
    <t>Net Income + Interests (net)</t>
  </si>
  <si>
    <t>EBIT - Interests (net) - Other financial items</t>
  </si>
  <si>
    <t>Ingresos - Gastos de Explotación - D&amp;A - Interests (net) - Other financial items</t>
  </si>
  <si>
    <t>Ingresos - Gastos de Explotación - D&amp;A - Interests (net) - Other financial items - taxes</t>
  </si>
  <si>
    <t>EBT - Taxes</t>
  </si>
  <si>
    <t>Net Income / Nº total de acciones diluídas</t>
  </si>
  <si>
    <t>Neto</t>
  </si>
  <si>
    <t>EBITDA / Ventas x 100</t>
  </si>
  <si>
    <t>EBIT / Ventas  x 100</t>
  </si>
  <si>
    <t>Net Income / Ventas  x 100</t>
  </si>
  <si>
    <t>FCF / Ventas x 100</t>
  </si>
  <si>
    <t>ROE</t>
  </si>
  <si>
    <t>ROA</t>
  </si>
  <si>
    <t>Capital Invertido = Equity + Deuda financiera total + Operating Leases Total – Marketable Securities</t>
  </si>
  <si>
    <t>Net Income / Equity</t>
  </si>
  <si>
    <t>Net Income / Total Assets</t>
  </si>
  <si>
    <t>EBIT * (1 - T) / Capital Invertido</t>
  </si>
  <si>
    <t>Inventarios + Cuentas a Cobrar de Clientes - Cuentas a pagar a proveedores</t>
  </si>
  <si>
    <t>Working Capital (WC)</t>
  </si>
  <si>
    <t>CapEx de Mantenimiento</t>
  </si>
  <si>
    <t>Si la directiva no proporciona un capex de mantenimiento exacto, usaremos la D&amp;A como "atajo" para el capex de mantenimiento en los casos que el capex total sea notablemente superior a la D&amp;A</t>
  </si>
  <si>
    <t>Otra opción es usar el % CapEx / Sales del sector, pero esto lleva trabajo, no hay una página que recoja este ratio para todas y cada una de los cientos de industrias que componen todos los sectores</t>
  </si>
  <si>
    <t>EBITDA - Interests (net) - Taxes - CapEx Mantenimiento - Variación de WC</t>
  </si>
  <si>
    <t>Variación de WC (CWC)</t>
  </si>
  <si>
    <t>Promedio</t>
  </si>
  <si>
    <t>Aumento nº acciones</t>
  </si>
  <si>
    <t>Crecimiento en Ventas</t>
  </si>
  <si>
    <t>(millones, excepto EPS)</t>
  </si>
  <si>
    <t>Proyección a futuro</t>
  </si>
  <si>
    <t>LTM</t>
  </si>
  <si>
    <t>Objetivo</t>
  </si>
  <si>
    <t>Precio objetivo</t>
  </si>
  <si>
    <t>NTM</t>
  </si>
  <si>
    <t>Opción 1</t>
  </si>
  <si>
    <t>Opción 2</t>
  </si>
  <si>
    <t>Opción 3</t>
  </si>
  <si>
    <t>WC año más reciente - WC año anterior. (P.ej.: WC 2021 - WC 2020)</t>
  </si>
  <si>
    <t>Valoración</t>
  </si>
  <si>
    <t>Márgenes %</t>
  </si>
  <si>
    <t>Rentabilidad %</t>
  </si>
  <si>
    <t>Enterprise Value / EBITDA</t>
  </si>
  <si>
    <t>Enterprise Value / EBIT</t>
  </si>
  <si>
    <t>Enterprise Value / FCF</t>
  </si>
  <si>
    <t>Beneficio "contable"</t>
  </si>
  <si>
    <t>Inventories + Accounts Receivable + Accounts Payable</t>
  </si>
  <si>
    <r>
      <t xml:space="preserve">Si la </t>
    </r>
    <r>
      <rPr>
        <b/>
        <sz val="12"/>
        <color theme="3"/>
        <rFont val="Ebrima"/>
      </rPr>
      <t>CWC es positiva DISMINUYE el FCF</t>
    </r>
    <r>
      <rPr>
        <sz val="12"/>
        <color theme="3"/>
        <rFont val="Ebrima"/>
      </rPr>
      <t xml:space="preserve"> ya que la empresa tiene que financiar ese aumento de inventarios y/o de cuentas a cobrar</t>
    </r>
  </si>
  <si>
    <r>
      <t xml:space="preserve">Si la </t>
    </r>
    <r>
      <rPr>
        <b/>
        <sz val="12"/>
        <color theme="3"/>
        <rFont val="Ebrima"/>
      </rPr>
      <t>CWC es negativa AUMENTA el FCF</t>
    </r>
    <r>
      <rPr>
        <sz val="12"/>
        <color theme="3"/>
        <rFont val="Ebrima"/>
      </rPr>
      <t>, ya que se 'libera'' capital, es como si la empresa vendiese inventarios y/o cobrase más facturas a clientes</t>
    </r>
  </si>
  <si>
    <t>Múltiplos de valoración</t>
  </si>
  <si>
    <t>Crecimiento</t>
  </si>
  <si>
    <t>Ventas</t>
  </si>
  <si>
    <t>EV / FCF</t>
  </si>
  <si>
    <t>EV / EBITDA</t>
  </si>
  <si>
    <t>EV / EBIT</t>
  </si>
  <si>
    <t>ROIC</t>
  </si>
  <si>
    <t>Fully diluted shares - millones</t>
  </si>
  <si>
    <t>Precio actual</t>
  </si>
  <si>
    <t>Valoración (millones)</t>
  </si>
  <si>
    <r>
      <t xml:space="preserve">- </t>
    </r>
    <r>
      <rPr>
        <b/>
        <sz val="12"/>
        <color theme="3"/>
        <rFont val="Ebrima"/>
      </rPr>
      <t>OJO</t>
    </r>
    <r>
      <rPr>
        <sz val="12"/>
        <color theme="3"/>
        <rFont val="Ebrima"/>
      </rPr>
      <t xml:space="preserve">: Solo es válido para </t>
    </r>
    <r>
      <rPr>
        <b/>
        <sz val="12"/>
        <color theme="3"/>
        <rFont val="Ebrima"/>
      </rPr>
      <t>TIKR en INGLÉS</t>
    </r>
    <r>
      <rPr>
        <sz val="12"/>
        <color theme="3"/>
        <rFont val="Ebrima"/>
      </rPr>
      <t>, y es recomendable pegar los datos con "formato de destino"</t>
    </r>
  </si>
  <si>
    <t>Asignación de capital</t>
  </si>
  <si>
    <t>Recompras</t>
  </si>
  <si>
    <t>Dividendos</t>
  </si>
  <si>
    <t>Total</t>
  </si>
  <si>
    <t>Acumulado</t>
  </si>
  <si>
    <t>Margen de seguridad</t>
  </si>
  <si>
    <t>Net Debt (Deuda Financiera Neta)</t>
  </si>
  <si>
    <t>Short-Term Debt + Short-Term Borrowings + Long-Term Debt + Long-Term Borrowings - Cash</t>
  </si>
  <si>
    <t>Market Cap + Net Debt</t>
  </si>
  <si>
    <r>
      <t xml:space="preserve">En empresas </t>
    </r>
    <r>
      <rPr>
        <b/>
        <sz val="12"/>
        <color theme="3"/>
        <rFont val="Ebrima"/>
      </rPr>
      <t>ligeras de activo</t>
    </r>
    <r>
      <rPr>
        <sz val="12"/>
        <color theme="3"/>
        <rFont val="Ebrima"/>
      </rPr>
      <t>s podemos restar también la partida "</t>
    </r>
    <r>
      <rPr>
        <b/>
        <sz val="12"/>
        <color theme="3"/>
        <rFont val="Ebrima"/>
      </rPr>
      <t>Unearned revenue</t>
    </r>
    <r>
      <rPr>
        <sz val="12"/>
        <color theme="3"/>
        <rFont val="Ebrima"/>
      </rPr>
      <t>", tanto "Current" como "Non-current"</t>
    </r>
  </si>
  <si>
    <t xml:space="preserve"> </t>
  </si>
  <si>
    <t>Repago de deuda neto</t>
  </si>
  <si>
    <r>
      <t xml:space="preserve">- Debes introducir todas las partidas con el </t>
    </r>
    <r>
      <rPr>
        <b/>
        <sz val="12"/>
        <color theme="3"/>
        <rFont val="Ebrima"/>
      </rPr>
      <t>MISMO SIGNO QUE EN TIKR</t>
    </r>
    <r>
      <rPr>
        <sz val="12"/>
        <color theme="3"/>
        <rFont val="Ebrima"/>
      </rPr>
      <t xml:space="preserve"> (Número negativo = SALIDA DE CAJA. Número positivo = ENTRADA DE CAJA)</t>
    </r>
  </si>
  <si>
    <t>AJUSTAR MANUALMENTE</t>
  </si>
  <si>
    <r>
      <t xml:space="preserve">- Modifica solo las celdas con fondo </t>
    </r>
    <r>
      <rPr>
        <b/>
        <sz val="14"/>
        <color theme="3"/>
        <rFont val="Ebrima"/>
      </rPr>
      <t>AZUL FLOJO</t>
    </r>
    <r>
      <rPr>
        <sz val="12"/>
        <color theme="3"/>
        <rFont val="Ebrima"/>
      </rPr>
      <t xml:space="preserve">. Los datos "clave" que </t>
    </r>
    <r>
      <rPr>
        <b/>
        <sz val="12"/>
        <color theme="3"/>
        <rFont val="Ebrima"/>
      </rPr>
      <t>debes modificar manualmente</t>
    </r>
    <r>
      <rPr>
        <sz val="12"/>
        <color theme="3"/>
        <rFont val="Ebrima"/>
      </rPr>
      <t xml:space="preserve"> para la valoración están marcados con números en </t>
    </r>
    <r>
      <rPr>
        <b/>
        <sz val="14"/>
        <color theme="9" tint="-0.249977111117893"/>
        <rFont val="Ebrima"/>
      </rPr>
      <t>NARANJA</t>
    </r>
    <r>
      <rPr>
        <sz val="12"/>
        <color theme="3"/>
        <rFont val="Ebrima"/>
      </rPr>
      <t xml:space="preserve"> (Hojas 1, 3 y 4)</t>
    </r>
  </si>
  <si>
    <t>Instrucciones de uso</t>
  </si>
  <si>
    <t>Adquisiciones (Crecimiento inorgánico)</t>
  </si>
  <si>
    <t>Emisión de acciones</t>
  </si>
  <si>
    <t>Posibles red flags</t>
  </si>
  <si>
    <t>Decrecimiento ventas</t>
  </si>
  <si>
    <t>Posibles "red flags" (1)</t>
  </si>
  <si>
    <t>Posibles "red flags" (2)</t>
  </si>
  <si>
    <t># de años con...</t>
  </si>
  <si>
    <t>Decrecimiento de ventas</t>
  </si>
  <si>
    <t>Como % de ventas...</t>
  </si>
  <si>
    <t>- Si no te aparece el botón "Copy table", debes seleccionar a mano los datos. Te sitúas con el cursor en la esquina izquierda superior de la tabla de TIKR y desde la franja negra "Income Statement | TIKR.com", arrastras hacia abajo para seleccionar todos los datos de la tabla. Después copias y pegas en la plantilla, como siempre.</t>
  </si>
  <si>
    <t>Posibles "Red Flags"</t>
  </si>
  <si>
    <r>
      <t xml:space="preserve">- Opcional: Para que la plantilla obtenga los datos desde </t>
    </r>
    <r>
      <rPr>
        <b/>
        <sz val="14"/>
        <color theme="3"/>
        <rFont val="Ebrima"/>
      </rPr>
      <t>TIKR</t>
    </r>
    <r>
      <rPr>
        <sz val="12"/>
        <color theme="3"/>
        <rFont val="Ebrima"/>
      </rPr>
      <t xml:space="preserve"> debes darle al botón "Copy Table" de cada estado financiero en TIKR y pegarlos en la celda A1 de las </t>
    </r>
    <r>
      <rPr>
        <b/>
        <sz val="12"/>
        <color theme="3"/>
        <rFont val="Ebrima"/>
      </rPr>
      <t>hojas 7 (IS), 8 (BS) y 9 (CF)</t>
    </r>
  </si>
  <si>
    <t>- Si no captura bien los datos, revisa que el separador decimal de tu aplicación de hoja de cálculo coincida con TIKR. También puedes probar a  ocultar los decimales en TIKR ("Decimals to display" =&gt;  0) y pegar de nuevo los datos</t>
  </si>
  <si>
    <t>Effective Tax Rate %</t>
  </si>
  <si>
    <t>Earnings Before Taxes (EBT)</t>
  </si>
  <si>
    <t xml:space="preserve">    EBT margin %</t>
  </si>
  <si>
    <t>Taxes</t>
  </si>
  <si>
    <t>Net Margin %</t>
  </si>
  <si>
    <t>Earnings Per Share (Diluted)</t>
  </si>
  <si>
    <t>Margen EBT</t>
  </si>
  <si>
    <t>Effective Tax rate</t>
  </si>
  <si>
    <t>Income Statement</t>
  </si>
  <si>
    <t>Rentabilidad</t>
  </si>
  <si>
    <t>Net Income negativo</t>
  </si>
  <si>
    <t>ROE "Pobre" (&lt;10%)</t>
  </si>
  <si>
    <t>Decrecimiento de margen EBT</t>
  </si>
  <si>
    <t>P/ B</t>
  </si>
  <si>
    <t>Decrecimiento margen EBT</t>
  </si>
  <si>
    <t>Equity</t>
  </si>
  <si>
    <t>Book Value por acción</t>
  </si>
  <si>
    <t>Apalancamiento</t>
  </si>
  <si>
    <t>Deuda / Equity</t>
  </si>
  <si>
    <t>-</t>
  </si>
  <si>
    <t>Pagos en acciones</t>
  </si>
  <si>
    <t>Price / Book</t>
  </si>
  <si>
    <t>Precio de compra para obtener un retorno anual &gt;=15%</t>
  </si>
  <si>
    <t>Novedades plantilla v2024.1</t>
  </si>
  <si>
    <r>
      <t>- Hoja 1</t>
    </r>
    <r>
      <rPr>
        <b/>
        <sz val="12"/>
        <color theme="3"/>
        <rFont val="Ebrima"/>
      </rPr>
      <t>.IS</t>
    </r>
    <r>
      <rPr>
        <sz val="12"/>
        <color theme="3"/>
        <rFont val="Ebrima"/>
      </rPr>
      <t>: P&amp;L adaptada para financieras. También se han añadido ratios de rentabilidad (ROA y ROE) y apalancamiento (Deuda / Equity)</t>
    </r>
  </si>
  <si>
    <r>
      <t>- Hoja 4.</t>
    </r>
    <r>
      <rPr>
        <b/>
        <sz val="12"/>
        <color theme="3"/>
        <rFont val="Ebrima"/>
      </rPr>
      <t>Valoración</t>
    </r>
    <r>
      <rPr>
        <sz val="12"/>
        <color theme="3"/>
        <rFont val="Ebrima"/>
      </rPr>
      <t>: Valoración por P/B y PER</t>
    </r>
  </si>
  <si>
    <t>- Nueva plantilla de valoración adaptada para empresas financieras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</si>
</sst>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_-[$€-2]\ * #,##0_-;\-[$€-2]\ * #,##0_-;_-[$€-2]\ * &quot;-&quot;??_-;_-@_-"/>
    <numFmt numFmtId="166" formatCode="#,##0.0"/>
    <numFmt numFmtId="167" formatCode="#,##0;[Red]\(#,##0\)"/>
    <numFmt numFmtId="168" formatCode="0.0%"/>
    <numFmt numFmtId="169" formatCode="#,##0.00;[Red]\(#,##0.00\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Tahoma"/>
      <family val="2"/>
    </font>
    <font>
      <sz val="12"/>
      <color theme="1"/>
      <name val="Ebrima"/>
    </font>
    <font>
      <b/>
      <sz val="12"/>
      <color theme="0"/>
      <name val="Ebrima"/>
    </font>
    <font>
      <b/>
      <sz val="12"/>
      <color theme="3"/>
      <name val="Ebrima"/>
    </font>
    <font>
      <sz val="12"/>
      <color theme="3"/>
      <name val="Ebrima"/>
    </font>
    <font>
      <sz val="40"/>
      <color theme="4"/>
      <name val="Ebrima"/>
    </font>
    <font>
      <b/>
      <sz val="12"/>
      <color theme="1"/>
      <name val="Ebrima"/>
    </font>
    <font>
      <b/>
      <sz val="12"/>
      <color theme="9" tint="-0.249977111117893"/>
      <name val="Ebrima"/>
    </font>
    <font>
      <b/>
      <sz val="12"/>
      <name val="Ebrima"/>
    </font>
    <font>
      <b/>
      <i/>
      <sz val="12"/>
      <color theme="1"/>
      <name val="Ebrima"/>
    </font>
    <font>
      <sz val="12"/>
      <color theme="4" tint="-0.249977111117893"/>
      <name val="Ebrima"/>
    </font>
    <font>
      <b/>
      <sz val="9"/>
      <color rgb="FF000000"/>
      <name val="Tahoma"/>
      <family val="2"/>
    </font>
    <font>
      <i/>
      <sz val="12"/>
      <color theme="3"/>
      <name val="Ebrima"/>
    </font>
    <font>
      <b/>
      <sz val="14"/>
      <color theme="3"/>
      <name val="Ebrima"/>
    </font>
    <font>
      <b/>
      <sz val="14"/>
      <color theme="9" tint="-0.249977111117893"/>
      <name val="Ebrima"/>
    </font>
    <font>
      <b/>
      <sz val="11"/>
      <color theme="1"/>
      <name val="Calibri"/>
      <family val="2"/>
      <scheme val="minor"/>
    </font>
    <font>
      <b/>
      <sz val="16"/>
      <color theme="0"/>
      <name val="Ebrima"/>
    </font>
    <font>
      <b/>
      <sz val="12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u/>
      <sz val="12"/>
      <color theme="9" tint="-0.249977111117893"/>
      <name val="Ebrima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3"/>
      </bottom>
      <diagonal/>
    </border>
    <border>
      <left/>
      <right style="thin">
        <color theme="4"/>
      </right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3"/>
      </right>
      <top style="thin">
        <color theme="4"/>
      </top>
      <bottom style="thin">
        <color theme="4"/>
      </bottom>
      <diagonal/>
    </border>
    <border>
      <left style="thin">
        <color theme="3"/>
      </left>
      <right style="thin">
        <color theme="3"/>
      </right>
      <top style="thin">
        <color theme="4"/>
      </top>
      <bottom style="thin">
        <color theme="4"/>
      </bottom>
      <diagonal/>
    </border>
    <border>
      <left style="thin">
        <color theme="3"/>
      </left>
      <right/>
      <top style="thin">
        <color theme="4"/>
      </top>
      <bottom style="thin">
        <color theme="4"/>
      </bottom>
      <diagonal/>
    </border>
    <border>
      <left style="thick">
        <color theme="9" tint="-0.24994659260841701"/>
      </left>
      <right style="thick">
        <color theme="9" tint="-0.24994659260841701"/>
      </right>
      <top style="thick">
        <color theme="9" tint="-0.24994659260841701"/>
      </top>
      <bottom style="thick">
        <color theme="9" tint="-0.24994659260841701"/>
      </bottom>
      <diagonal/>
    </border>
    <border>
      <left style="thick">
        <color theme="9" tint="-0.24994659260841701"/>
      </left>
      <right style="thick">
        <color theme="9" tint="-0.24994659260841701"/>
      </right>
      <top style="thick">
        <color theme="9" tint="-0.24994659260841701"/>
      </top>
      <bottom style="thin">
        <color theme="3"/>
      </bottom>
      <diagonal/>
    </border>
    <border>
      <left style="thick">
        <color theme="9" tint="-0.24994659260841701"/>
      </left>
      <right style="thick">
        <color theme="9" tint="-0.24994659260841701"/>
      </right>
      <top/>
      <bottom/>
      <diagonal/>
    </border>
    <border>
      <left style="thick">
        <color theme="9" tint="-0.24994659260841701"/>
      </left>
      <right style="thick">
        <color theme="9" tint="-0.24994659260841701"/>
      </right>
      <top/>
      <bottom style="thick">
        <color theme="9" tint="-0.24994659260841701"/>
      </bottom>
      <diagonal/>
    </border>
    <border>
      <left style="thick">
        <color theme="9" tint="-0.24994659260841701"/>
      </left>
      <right style="thick">
        <color theme="9" tint="-0.24994659260841701"/>
      </right>
      <top style="thick">
        <color theme="9" tint="-0.24994659260841701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ck">
        <color theme="4"/>
      </left>
      <right style="thick">
        <color theme="4"/>
      </right>
      <top style="thick">
        <color theme="4"/>
      </top>
      <bottom/>
      <diagonal/>
    </border>
    <border>
      <left style="thick">
        <color theme="4"/>
      </left>
      <right style="thick">
        <color theme="4"/>
      </right>
      <top/>
      <bottom/>
      <diagonal/>
    </border>
    <border>
      <left style="thick">
        <color theme="4"/>
      </left>
      <right style="thick">
        <color theme="4"/>
      </right>
      <top/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/>
      <right style="thin">
        <color theme="3"/>
      </right>
      <top style="thin">
        <color theme="4"/>
      </top>
      <bottom/>
      <diagonal/>
    </border>
    <border>
      <left style="thin">
        <color theme="4"/>
      </left>
      <right style="thin">
        <color theme="3"/>
      </right>
      <top style="thin">
        <color theme="4"/>
      </top>
      <bottom/>
      <diagonal/>
    </border>
    <border>
      <left style="thin">
        <color theme="4"/>
      </left>
      <right style="thin">
        <color theme="3"/>
      </right>
      <top/>
      <bottom style="thin">
        <color theme="4"/>
      </bottom>
      <diagonal/>
    </border>
    <border>
      <left/>
      <right style="thick">
        <color theme="9" tint="-0.24994659260841701"/>
      </right>
      <top/>
      <bottom style="thin">
        <color theme="4"/>
      </bottom>
      <diagonal/>
    </border>
    <border>
      <left style="thick">
        <color theme="4"/>
      </left>
      <right style="thick">
        <color theme="4"/>
      </right>
      <top style="medium">
        <color theme="4"/>
      </top>
      <bottom style="medium">
        <color theme="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8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9" fontId="8" fillId="2" borderId="0" xfId="1" applyFont="1" applyFill="1" applyBorder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indent="1"/>
    </xf>
    <xf numFmtId="3" fontId="8" fillId="2" borderId="0" xfId="1" applyNumberFormat="1" applyFont="1" applyFill="1" applyBorder="1" applyAlignment="1">
      <alignment horizontal="center" vertical="center"/>
    </xf>
    <xf numFmtId="4" fontId="11" fillId="0" borderId="0" xfId="1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2" fontId="12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1" fontId="12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2" fontId="10" fillId="2" borderId="0" xfId="0" applyNumberFormat="1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1" fontId="10" fillId="2" borderId="0" xfId="0" applyNumberFormat="1" applyFont="1" applyFill="1" applyAlignment="1">
      <alignment horizontal="center" vertical="center" wrapText="1"/>
    </xf>
    <xf numFmtId="165" fontId="13" fillId="2" borderId="0" xfId="0" applyNumberFormat="1" applyFont="1" applyFill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2" fontId="8" fillId="2" borderId="0" xfId="0" applyNumberFormat="1" applyFont="1" applyFill="1" applyAlignment="1">
      <alignment horizontal="left" vertical="center" indent="2"/>
    </xf>
    <xf numFmtId="1" fontId="8" fillId="2" borderId="0" xfId="0" applyNumberFormat="1" applyFont="1" applyFill="1" applyAlignment="1">
      <alignment horizontal="left" vertical="center"/>
    </xf>
    <xf numFmtId="1" fontId="7" fillId="2" borderId="0" xfId="0" applyNumberFormat="1" applyFont="1" applyFill="1" applyAlignment="1">
      <alignment horizontal="left" vertical="center"/>
    </xf>
    <xf numFmtId="2" fontId="8" fillId="2" borderId="0" xfId="0" applyNumberFormat="1" applyFont="1" applyFill="1" applyAlignment="1">
      <alignment horizontal="left" vertical="center" wrapText="1"/>
    </xf>
    <xf numFmtId="2" fontId="7" fillId="2" borderId="0" xfId="0" applyNumberFormat="1" applyFont="1" applyFill="1" applyAlignment="1">
      <alignment horizontal="left" vertical="center" wrapText="1"/>
    </xf>
    <xf numFmtId="9" fontId="8" fillId="2" borderId="0" xfId="1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9" fontId="7" fillId="2" borderId="0" xfId="1" applyFont="1" applyFill="1" applyBorder="1" applyAlignment="1">
      <alignment horizontal="left" vertical="center" wrapText="1"/>
    </xf>
    <xf numFmtId="2" fontId="7" fillId="2" borderId="0" xfId="0" applyNumberFormat="1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 indent="1"/>
    </xf>
    <xf numFmtId="0" fontId="8" fillId="0" borderId="0" xfId="0" quotePrefix="1" applyFont="1" applyAlignment="1">
      <alignment horizontal="left" indent="1"/>
    </xf>
    <xf numFmtId="0" fontId="6" fillId="4" borderId="0" xfId="0" applyFont="1" applyFill="1" applyAlignment="1">
      <alignment horizontal="center" vertical="center"/>
    </xf>
    <xf numFmtId="3" fontId="7" fillId="6" borderId="0" xfId="0" applyNumberFormat="1" applyFont="1" applyFill="1" applyAlignment="1">
      <alignment horizontal="center" vertical="center"/>
    </xf>
    <xf numFmtId="9" fontId="14" fillId="2" borderId="0" xfId="1" applyFont="1" applyFill="1" applyBorder="1" applyAlignment="1">
      <alignment horizontal="center" vertical="center"/>
    </xf>
    <xf numFmtId="9" fontId="14" fillId="7" borderId="0" xfId="1" applyFont="1" applyFill="1" applyBorder="1" applyAlignment="1">
      <alignment horizontal="center" vertical="center"/>
    </xf>
    <xf numFmtId="9" fontId="14" fillId="7" borderId="5" xfId="1" applyFont="1" applyFill="1" applyBorder="1" applyAlignment="1">
      <alignment horizontal="center" vertical="center"/>
    </xf>
    <xf numFmtId="9" fontId="8" fillId="0" borderId="0" xfId="1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vertical="center"/>
    </xf>
    <xf numFmtId="0" fontId="14" fillId="3" borderId="8" xfId="0" applyFont="1" applyFill="1" applyBorder="1" applyAlignment="1">
      <alignment vertical="center"/>
    </xf>
    <xf numFmtId="0" fontId="14" fillId="3" borderId="9" xfId="0" applyFont="1" applyFill="1" applyBorder="1" applyAlignment="1">
      <alignment vertical="center"/>
    </xf>
    <xf numFmtId="0" fontId="6" fillId="4" borderId="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 indent="1"/>
    </xf>
    <xf numFmtId="0" fontId="6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4" fontId="0" fillId="0" borderId="0" xfId="0" applyNumberForma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14" fontId="19" fillId="0" borderId="0" xfId="0" applyNumberFormat="1" applyFont="1" applyAlignment="1">
      <alignment horizontal="center"/>
    </xf>
    <xf numFmtId="0" fontId="19" fillId="8" borderId="0" xfId="0" applyFont="1" applyFill="1"/>
    <xf numFmtId="0" fontId="19" fillId="0" borderId="0" xfId="0" applyFont="1" applyProtection="1">
      <protection locked="0"/>
    </xf>
    <xf numFmtId="0" fontId="19" fillId="0" borderId="0" xfId="0" applyFont="1" applyAlignment="1" applyProtection="1">
      <alignment horizontal="center"/>
      <protection locked="0"/>
    </xf>
    <xf numFmtId="14" fontId="19" fillId="0" borderId="0" xfId="0" applyNumberFormat="1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4" fontId="0" fillId="0" borderId="0" xfId="0" applyNumberFormat="1" applyAlignment="1" applyProtection="1">
      <alignment horizontal="center"/>
      <protection locked="0"/>
    </xf>
    <xf numFmtId="167" fontId="7" fillId="2" borderId="0" xfId="0" applyNumberFormat="1" applyFont="1" applyFill="1" applyAlignment="1">
      <alignment horizontal="center" vertical="center"/>
    </xf>
    <xf numFmtId="167" fontId="8" fillId="6" borderId="0" xfId="0" applyNumberFormat="1" applyFont="1" applyFill="1" applyAlignment="1">
      <alignment horizontal="center" vertical="center"/>
    </xf>
    <xf numFmtId="167" fontId="8" fillId="2" borderId="0" xfId="0" applyNumberFormat="1" applyFont="1" applyFill="1" applyAlignment="1">
      <alignment horizontal="center" vertical="center"/>
    </xf>
    <xf numFmtId="167" fontId="7" fillId="6" borderId="0" xfId="0" applyNumberFormat="1" applyFont="1" applyFill="1" applyAlignment="1">
      <alignment horizontal="center" vertical="center"/>
    </xf>
    <xf numFmtId="167" fontId="8" fillId="2" borderId="0" xfId="1" applyNumberFormat="1" applyFont="1" applyFill="1" applyBorder="1" applyAlignment="1">
      <alignment horizontal="center" vertical="center"/>
    </xf>
    <xf numFmtId="0" fontId="8" fillId="0" borderId="0" xfId="0" quotePrefix="1" applyFont="1" applyAlignment="1">
      <alignment horizontal="left" vertical="center" indent="1"/>
    </xf>
    <xf numFmtId="0" fontId="8" fillId="0" borderId="0" xfId="0" quotePrefix="1" applyFont="1" applyAlignment="1">
      <alignment horizontal="left" vertical="center" indent="3"/>
    </xf>
    <xf numFmtId="9" fontId="7" fillId="2" borderId="0" xfId="1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 indent="1"/>
    </xf>
    <xf numFmtId="3" fontId="7" fillId="6" borderId="3" xfId="0" applyNumberFormat="1" applyFont="1" applyFill="1" applyBorder="1" applyAlignment="1">
      <alignment horizontal="center" vertical="center"/>
    </xf>
    <xf numFmtId="9" fontId="8" fillId="2" borderId="3" xfId="1" applyFont="1" applyFill="1" applyBorder="1" applyAlignment="1">
      <alignment horizontal="center" vertical="center"/>
    </xf>
    <xf numFmtId="167" fontId="7" fillId="2" borderId="3" xfId="0" applyNumberFormat="1" applyFont="1" applyFill="1" applyBorder="1" applyAlignment="1">
      <alignment horizontal="center" vertical="center"/>
    </xf>
    <xf numFmtId="167" fontId="8" fillId="6" borderId="3" xfId="0" applyNumberFormat="1" applyFont="1" applyFill="1" applyBorder="1" applyAlignment="1">
      <alignment horizontal="center" vertical="center"/>
    </xf>
    <xf numFmtId="167" fontId="7" fillId="6" borderId="3" xfId="0" applyNumberFormat="1" applyFont="1" applyFill="1" applyBorder="1" applyAlignment="1">
      <alignment horizontal="center" vertical="center"/>
    </xf>
    <xf numFmtId="167" fontId="8" fillId="2" borderId="3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 vertical="center"/>
    </xf>
    <xf numFmtId="0" fontId="7" fillId="6" borderId="0" xfId="0" applyFont="1" applyFill="1" applyAlignment="1">
      <alignment horizontal="left" vertical="center" indent="1"/>
    </xf>
    <xf numFmtId="3" fontId="7" fillId="2" borderId="6" xfId="0" applyNumberFormat="1" applyFont="1" applyFill="1" applyBorder="1" applyAlignment="1">
      <alignment horizontal="center" vertical="center"/>
    </xf>
    <xf numFmtId="9" fontId="8" fillId="2" borderId="6" xfId="1" applyFont="1" applyFill="1" applyBorder="1" applyAlignment="1">
      <alignment horizontal="center" vertical="center"/>
    </xf>
    <xf numFmtId="167" fontId="7" fillId="2" borderId="6" xfId="0" applyNumberFormat="1" applyFont="1" applyFill="1" applyBorder="1" applyAlignment="1">
      <alignment horizontal="center" vertical="center"/>
    </xf>
    <xf numFmtId="0" fontId="8" fillId="6" borderId="0" xfId="0" applyFont="1" applyFill="1" applyAlignment="1">
      <alignment horizontal="left" vertical="center" indent="1"/>
    </xf>
    <xf numFmtId="167" fontId="8" fillId="2" borderId="6" xfId="0" applyNumberFormat="1" applyFont="1" applyFill="1" applyBorder="1" applyAlignment="1">
      <alignment horizontal="center" vertical="center"/>
    </xf>
    <xf numFmtId="3" fontId="8" fillId="2" borderId="6" xfId="0" applyNumberFormat="1" applyFont="1" applyFill="1" applyBorder="1" applyAlignment="1">
      <alignment horizontal="center" vertical="center"/>
    </xf>
    <xf numFmtId="9" fontId="8" fillId="0" borderId="2" xfId="1" applyFont="1" applyBorder="1" applyAlignment="1">
      <alignment horizontal="center" vertical="center"/>
    </xf>
    <xf numFmtId="9" fontId="8" fillId="0" borderId="4" xfId="1" applyFont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center" wrapText="1" indent="1"/>
    </xf>
    <xf numFmtId="166" fontId="8" fillId="0" borderId="0" xfId="0" applyNumberFormat="1" applyFont="1" applyAlignment="1">
      <alignment horizontal="center" vertical="center"/>
    </xf>
    <xf numFmtId="9" fontId="0" fillId="0" borderId="0" xfId="1" applyFont="1" applyAlignment="1">
      <alignment horizontal="center"/>
    </xf>
    <xf numFmtId="0" fontId="16" fillId="8" borderId="2" xfId="0" applyFont="1" applyFill="1" applyBorder="1" applyAlignment="1">
      <alignment horizontal="left" vertical="center" indent="2"/>
    </xf>
    <xf numFmtId="9" fontId="16" fillId="0" borderId="14" xfId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2" borderId="0" xfId="0" applyFont="1" applyFill="1" applyAlignment="1">
      <alignment horizontal="left" vertical="center" indent="3"/>
    </xf>
    <xf numFmtId="0" fontId="16" fillId="8" borderId="0" xfId="0" applyFont="1" applyFill="1" applyAlignment="1">
      <alignment horizontal="left" vertical="center" indent="2"/>
    </xf>
    <xf numFmtId="4" fontId="16" fillId="8" borderId="0" xfId="0" applyNumberFormat="1" applyFont="1" applyFill="1" applyAlignment="1">
      <alignment horizontal="center" vertical="center"/>
    </xf>
    <xf numFmtId="9" fontId="16" fillId="8" borderId="2" xfId="1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 indent="1"/>
    </xf>
    <xf numFmtId="2" fontId="8" fillId="6" borderId="0" xfId="0" applyNumberFormat="1" applyFont="1" applyFill="1" applyAlignment="1">
      <alignment horizontal="left" vertical="center" indent="2"/>
    </xf>
    <xf numFmtId="2" fontId="8" fillId="6" borderId="0" xfId="0" applyNumberFormat="1" applyFont="1" applyFill="1" applyAlignment="1">
      <alignment horizontal="left" vertical="center" wrapText="1"/>
    </xf>
    <xf numFmtId="1" fontId="8" fillId="6" borderId="0" xfId="0" applyNumberFormat="1" applyFont="1" applyFill="1" applyAlignment="1">
      <alignment horizontal="left" vertical="center"/>
    </xf>
    <xf numFmtId="1" fontId="7" fillId="6" borderId="0" xfId="0" applyNumberFormat="1" applyFont="1" applyFill="1" applyAlignment="1">
      <alignment horizontal="left" vertical="center"/>
    </xf>
    <xf numFmtId="9" fontId="8" fillId="6" borderId="0" xfId="1" applyFont="1" applyFill="1" applyBorder="1" applyAlignment="1">
      <alignment horizontal="left" vertical="center" wrapText="1"/>
    </xf>
    <xf numFmtId="0" fontId="8" fillId="6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indent="3"/>
    </xf>
    <xf numFmtId="4" fontId="11" fillId="6" borderId="18" xfId="1" applyNumberFormat="1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 wrapText="1"/>
    </xf>
    <xf numFmtId="9" fontId="11" fillId="6" borderId="20" xfId="1" applyFont="1" applyFill="1" applyBorder="1" applyAlignment="1">
      <alignment horizontal="center" vertical="center"/>
    </xf>
    <xf numFmtId="9" fontId="11" fillId="3" borderId="21" xfId="1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 wrapText="1"/>
    </xf>
    <xf numFmtId="3" fontId="7" fillId="2" borderId="3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center" vertical="center"/>
    </xf>
    <xf numFmtId="9" fontId="8" fillId="0" borderId="1" xfId="1" applyFont="1" applyBorder="1" applyAlignment="1">
      <alignment horizontal="center" vertical="center"/>
    </xf>
    <xf numFmtId="9" fontId="8" fillId="0" borderId="24" xfId="1" applyFont="1" applyBorder="1" applyAlignment="1">
      <alignment horizontal="center" vertical="center"/>
    </xf>
    <xf numFmtId="9" fontId="8" fillId="0" borderId="12" xfId="1" applyFont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6" fillId="5" borderId="25" xfId="0" applyFont="1" applyFill="1" applyBorder="1" applyAlignment="1">
      <alignment horizontal="center" vertical="center" wrapText="1"/>
    </xf>
    <xf numFmtId="9" fontId="8" fillId="0" borderId="23" xfId="1" applyFont="1" applyBorder="1" applyAlignment="1">
      <alignment horizontal="center" vertical="center"/>
    </xf>
    <xf numFmtId="9" fontId="7" fillId="0" borderId="0" xfId="1" applyFont="1" applyFill="1" applyBorder="1" applyAlignment="1">
      <alignment horizontal="center" vertical="center"/>
    </xf>
    <xf numFmtId="1" fontId="19" fillId="8" borderId="0" xfId="0" applyNumberFormat="1" applyFont="1" applyFill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" fontId="0" fillId="0" borderId="11" xfId="0" applyNumberFormat="1" applyBorder="1" applyAlignment="1">
      <alignment horizontal="right"/>
    </xf>
    <xf numFmtId="1" fontId="19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0" fontId="19" fillId="8" borderId="0" xfId="0" applyFont="1" applyFill="1" applyAlignment="1">
      <alignment horizontal="right"/>
    </xf>
    <xf numFmtId="9" fontId="0" fillId="0" borderId="0" xfId="0" applyNumberFormat="1" applyAlignment="1">
      <alignment horizontal="right"/>
    </xf>
    <xf numFmtId="9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left" vertical="center" indent="3"/>
    </xf>
    <xf numFmtId="0" fontId="8" fillId="0" borderId="14" xfId="0" applyFont="1" applyBorder="1" applyAlignment="1">
      <alignment horizontal="left" vertical="center" indent="3"/>
    </xf>
    <xf numFmtId="3" fontId="8" fillId="0" borderId="13" xfId="1" applyNumberFormat="1" applyFont="1" applyBorder="1" applyAlignment="1">
      <alignment horizontal="center" vertical="center"/>
    </xf>
    <xf numFmtId="0" fontId="19" fillId="9" borderId="0" xfId="0" applyFont="1" applyFill="1" applyAlignment="1">
      <alignment horizontal="right"/>
    </xf>
    <xf numFmtId="3" fontId="0" fillId="9" borderId="0" xfId="0" applyNumberFormat="1" applyFill="1" applyAlignment="1">
      <alignment horizontal="right"/>
    </xf>
    <xf numFmtId="0" fontId="0" fillId="9" borderId="0" xfId="0" applyFill="1" applyAlignment="1">
      <alignment horizontal="right"/>
    </xf>
    <xf numFmtId="0" fontId="8" fillId="0" borderId="0" xfId="0" quotePrefix="1" applyFont="1" applyAlignment="1">
      <alignment horizontal="left" vertical="center" wrapText="1" indent="3"/>
    </xf>
    <xf numFmtId="0" fontId="5" fillId="0" borderId="28" xfId="0" applyFont="1" applyBorder="1"/>
    <xf numFmtId="3" fontId="8" fillId="0" borderId="14" xfId="1" applyNumberFormat="1" applyFont="1" applyBorder="1" applyAlignment="1">
      <alignment horizontal="center" vertical="center"/>
    </xf>
    <xf numFmtId="0" fontId="16" fillId="0" borderId="28" xfId="0" applyFont="1" applyBorder="1" applyAlignment="1">
      <alignment horizontal="left" vertical="center" indent="1"/>
    </xf>
    <xf numFmtId="9" fontId="5" fillId="0" borderId="0" xfId="1" applyFont="1" applyAlignment="1">
      <alignment horizontal="center"/>
    </xf>
    <xf numFmtId="0" fontId="8" fillId="2" borderId="8" xfId="0" applyFont="1" applyFill="1" applyBorder="1" applyAlignment="1">
      <alignment horizontal="left" vertical="center" indent="1"/>
    </xf>
    <xf numFmtId="9" fontId="8" fillId="2" borderId="0" xfId="1" applyFont="1" applyFill="1" applyAlignment="1">
      <alignment horizontal="center" vertical="center"/>
    </xf>
    <xf numFmtId="0" fontId="22" fillId="0" borderId="0" xfId="0" applyFont="1"/>
    <xf numFmtId="4" fontId="22" fillId="0" borderId="0" xfId="0" applyNumberFormat="1" applyFont="1" applyAlignment="1">
      <alignment horizontal="center"/>
    </xf>
    <xf numFmtId="0" fontId="8" fillId="2" borderId="8" xfId="0" applyFont="1" applyFill="1" applyBorder="1" applyAlignment="1">
      <alignment horizontal="left" vertical="center" indent="3"/>
    </xf>
    <xf numFmtId="0" fontId="8" fillId="2" borderId="0" xfId="0" applyFont="1" applyFill="1" applyAlignment="1">
      <alignment horizontal="left" vertical="center" indent="3"/>
    </xf>
    <xf numFmtId="4" fontId="8" fillId="2" borderId="3" xfId="1" applyNumberFormat="1" applyFont="1" applyFill="1" applyBorder="1" applyAlignment="1">
      <alignment horizontal="center" vertical="center"/>
    </xf>
    <xf numFmtId="4" fontId="8" fillId="2" borderId="0" xfId="1" applyNumberFormat="1" applyFont="1" applyFill="1" applyAlignment="1">
      <alignment horizontal="center" vertical="center"/>
    </xf>
    <xf numFmtId="4" fontId="8" fillId="2" borderId="6" xfId="1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9" xfId="0" applyFont="1" applyFill="1" applyBorder="1" applyAlignment="1">
      <alignment horizontal="center" vertical="center"/>
    </xf>
    <xf numFmtId="9" fontId="8" fillId="2" borderId="14" xfId="1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left" vertical="center" indent="3"/>
    </xf>
    <xf numFmtId="168" fontId="8" fillId="2" borderId="23" xfId="1" applyNumberFormat="1" applyFont="1" applyFill="1" applyBorder="1" applyAlignment="1">
      <alignment horizontal="center" vertical="center"/>
    </xf>
    <xf numFmtId="168" fontId="8" fillId="2" borderId="1" xfId="1" applyNumberFormat="1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left" vertical="center" indent="3"/>
    </xf>
    <xf numFmtId="9" fontId="8" fillId="2" borderId="4" xfId="1" applyFont="1" applyFill="1" applyBorder="1" applyAlignment="1">
      <alignment horizontal="center" vertical="center"/>
    </xf>
    <xf numFmtId="9" fontId="8" fillId="2" borderId="2" xfId="1" applyFont="1" applyFill="1" applyBorder="1" applyAlignment="1">
      <alignment horizontal="center" vertical="center"/>
    </xf>
    <xf numFmtId="0" fontId="6" fillId="5" borderId="28" xfId="0" applyFont="1" applyFill="1" applyBorder="1" applyAlignment="1">
      <alignment horizontal="center" vertical="center" wrapText="1"/>
    </xf>
    <xf numFmtId="168" fontId="8" fillId="2" borderId="28" xfId="1" applyNumberFormat="1" applyFont="1" applyFill="1" applyBorder="1" applyAlignment="1">
      <alignment horizontal="center" vertical="center"/>
    </xf>
    <xf numFmtId="9" fontId="8" fillId="2" borderId="23" xfId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 indent="1"/>
    </xf>
    <xf numFmtId="0" fontId="8" fillId="0" borderId="23" xfId="0" applyFont="1" applyBorder="1" applyAlignment="1">
      <alignment horizontal="left" vertical="center" indent="1"/>
    </xf>
    <xf numFmtId="167" fontId="8" fillId="2" borderId="1" xfId="0" applyNumberFormat="1" applyFont="1" applyFill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167" fontId="8" fillId="0" borderId="24" xfId="0" applyNumberFormat="1" applyFont="1" applyBorder="1" applyAlignment="1">
      <alignment horizontal="center" vertical="center"/>
    </xf>
    <xf numFmtId="167" fontId="8" fillId="2" borderId="24" xfId="0" applyNumberFormat="1" applyFont="1" applyFill="1" applyBorder="1" applyAlignment="1">
      <alignment horizontal="center" vertical="center"/>
    </xf>
    <xf numFmtId="169" fontId="8" fillId="2" borderId="0" xfId="0" applyNumberFormat="1" applyFont="1" applyFill="1" applyAlignment="1">
      <alignment horizontal="center" vertical="center"/>
    </xf>
    <xf numFmtId="0" fontId="8" fillId="0" borderId="3" xfId="0" applyFont="1" applyBorder="1" applyAlignment="1">
      <alignment horizontal="left" vertical="center" indent="1"/>
    </xf>
    <xf numFmtId="169" fontId="8" fillId="2" borderId="2" xfId="0" applyNumberFormat="1" applyFont="1" applyFill="1" applyBorder="1" applyAlignment="1">
      <alignment horizontal="center" vertical="center"/>
    </xf>
    <xf numFmtId="169" fontId="8" fillId="2" borderId="12" xfId="0" applyNumberFormat="1" applyFont="1" applyFill="1" applyBorder="1" applyAlignment="1">
      <alignment horizontal="center" vertical="center"/>
    </xf>
    <xf numFmtId="169" fontId="8" fillId="0" borderId="2" xfId="0" applyNumberFormat="1" applyFont="1" applyBorder="1" applyAlignment="1">
      <alignment horizontal="center" vertical="center"/>
    </xf>
    <xf numFmtId="169" fontId="8" fillId="0" borderId="12" xfId="0" applyNumberFormat="1" applyFont="1" applyBorder="1" applyAlignment="1">
      <alignment horizontal="center" vertical="center"/>
    </xf>
    <xf numFmtId="169" fontId="8" fillId="2" borderId="6" xfId="0" applyNumberFormat="1" applyFont="1" applyFill="1" applyBorder="1" applyAlignment="1">
      <alignment horizontal="center" vertical="center"/>
    </xf>
    <xf numFmtId="169" fontId="8" fillId="0" borderId="0" xfId="0" applyNumberFormat="1" applyFont="1" applyAlignment="1">
      <alignment horizontal="center" vertical="center"/>
    </xf>
    <xf numFmtId="169" fontId="8" fillId="0" borderId="6" xfId="0" applyNumberFormat="1" applyFont="1" applyBorder="1" applyAlignment="1">
      <alignment horizontal="center" vertical="center"/>
    </xf>
    <xf numFmtId="4" fontId="8" fillId="2" borderId="26" xfId="1" applyNumberFormat="1" applyFont="1" applyFill="1" applyBorder="1" applyAlignment="1">
      <alignment horizontal="center" vertical="center"/>
    </xf>
    <xf numFmtId="9" fontId="8" fillId="0" borderId="28" xfId="1" applyFont="1" applyBorder="1" applyAlignment="1">
      <alignment horizontal="center" vertical="center"/>
    </xf>
    <xf numFmtId="166" fontId="23" fillId="6" borderId="21" xfId="0" applyNumberFormat="1" applyFont="1" applyFill="1" applyBorder="1" applyAlignment="1">
      <alignment horizontal="center" vertical="center"/>
    </xf>
    <xf numFmtId="166" fontId="8" fillId="0" borderId="2" xfId="0" applyNumberFormat="1" applyFont="1" applyBorder="1" applyAlignment="1">
      <alignment horizontal="center" vertical="center"/>
    </xf>
    <xf numFmtId="166" fontId="8" fillId="0" borderId="32" xfId="0" applyNumberFormat="1" applyFont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 indent="1"/>
    </xf>
    <xf numFmtId="0" fontId="8" fillId="2" borderId="23" xfId="0" applyFont="1" applyFill="1" applyBorder="1" applyAlignment="1">
      <alignment horizontal="left" vertical="center" indent="1"/>
    </xf>
    <xf numFmtId="0" fontId="8" fillId="2" borderId="1" xfId="0" applyFont="1" applyFill="1" applyBorder="1" applyAlignment="1">
      <alignment horizontal="left" vertical="center" indent="1"/>
    </xf>
    <xf numFmtId="0" fontId="16" fillId="8" borderId="4" xfId="0" applyFont="1" applyFill="1" applyBorder="1" applyAlignment="1">
      <alignment horizontal="left" vertical="center" indent="2"/>
    </xf>
    <xf numFmtId="166" fontId="0" fillId="0" borderId="0" xfId="0" applyNumberFormat="1" applyAlignment="1">
      <alignment horizontal="right"/>
    </xf>
    <xf numFmtId="166" fontId="8" fillId="2" borderId="4" xfId="1" applyNumberFormat="1" applyFont="1" applyFill="1" applyBorder="1" applyAlignment="1">
      <alignment horizontal="center" vertical="center"/>
    </xf>
    <xf numFmtId="166" fontId="8" fillId="2" borderId="2" xfId="1" applyNumberFormat="1" applyFont="1" applyFill="1" applyBorder="1" applyAlignment="1">
      <alignment horizontal="center" vertical="center"/>
    </xf>
    <xf numFmtId="166" fontId="8" fillId="2" borderId="12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9" fontId="8" fillId="0" borderId="3" xfId="1" applyFont="1" applyBorder="1" applyAlignment="1">
      <alignment horizontal="center" vertical="center"/>
    </xf>
    <xf numFmtId="9" fontId="8" fillId="0" borderId="0" xfId="1" applyFont="1" applyBorder="1" applyAlignment="1">
      <alignment horizontal="center" vertical="center"/>
    </xf>
    <xf numFmtId="9" fontId="8" fillId="0" borderId="6" xfId="1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7" fillId="6" borderId="15" xfId="0" applyFont="1" applyFill="1" applyBorder="1" applyAlignment="1">
      <alignment horizontal="left" vertical="center" indent="1"/>
    </xf>
    <xf numFmtId="0" fontId="7" fillId="6" borderId="16" xfId="0" applyFont="1" applyFill="1" applyBorder="1" applyAlignment="1">
      <alignment horizontal="left" vertical="center" indent="1"/>
    </xf>
    <xf numFmtId="0" fontId="7" fillId="6" borderId="17" xfId="0" applyFont="1" applyFill="1" applyBorder="1" applyAlignment="1">
      <alignment horizontal="left" vertical="center" indent="1"/>
    </xf>
    <xf numFmtId="0" fontId="6" fillId="4" borderId="0" xfId="0" quotePrefix="1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7" fillId="2" borderId="0" xfId="0" applyFont="1" applyFill="1" applyBorder="1" applyAlignment="1">
      <alignment horizontal="left" vertical="center" indent="1"/>
    </xf>
    <xf numFmtId="4" fontId="11" fillId="2" borderId="0" xfId="1" applyNumberFormat="1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left" vertical="center" indent="1"/>
    </xf>
    <xf numFmtId="0" fontId="7" fillId="2" borderId="16" xfId="0" applyFont="1" applyFill="1" applyBorder="1" applyAlignment="1">
      <alignment horizontal="left" vertical="center" indent="1"/>
    </xf>
    <xf numFmtId="0" fontId="7" fillId="2" borderId="17" xfId="0" applyFont="1" applyFill="1" applyBorder="1" applyAlignment="1">
      <alignment horizontal="left" vertical="center" indent="1"/>
    </xf>
    <xf numFmtId="4" fontId="7" fillId="2" borderId="33" xfId="1" applyNumberFormat="1" applyFont="1" applyFill="1" applyBorder="1" applyAlignment="1">
      <alignment horizontal="center" vertical="center"/>
    </xf>
    <xf numFmtId="9" fontId="8" fillId="0" borderId="13" xfId="1" applyFont="1" applyBorder="1" applyAlignment="1">
      <alignment horizontal="center" vertical="center"/>
    </xf>
    <xf numFmtId="4" fontId="16" fillId="8" borderId="26" xfId="1" applyNumberFormat="1" applyFont="1" applyFill="1" applyBorder="1" applyAlignment="1">
      <alignment horizontal="center" vertical="center"/>
    </xf>
    <xf numFmtId="9" fontId="16" fillId="8" borderId="27" xfId="1" applyFont="1" applyFill="1" applyBorder="1" applyAlignment="1">
      <alignment horizontal="center" vertical="center"/>
    </xf>
    <xf numFmtId="166" fontId="23" fillId="6" borderId="20" xfId="1" applyNumberFormat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41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/>
        <name val="Ebrim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/>
        <name val="Ebrim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/>
        <name val="Ebrim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/>
        <name val="Ebrim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/>
        <name val="Ebrim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Ebrima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Ebrima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Ebrima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/>
        <name val="Ebrim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/>
        <name val="Ebrim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/>
        <name val="Ebrim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/>
        <name val="Ebrim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/>
        <name val="Ebrim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/>
        <name val="Ebrim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/>
        <name val="Ebrim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/>
        <name val="Ebrima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3"/>
        </left>
        <right style="thin">
          <color theme="3"/>
        </right>
        <top/>
        <bottom/>
      </border>
    </dxf>
    <dxf>
      <border diagonalUp="0" diagonalDown="0">
        <left/>
        <right style="thin">
          <color theme="3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Ebrima"/>
        <scheme val="none"/>
      </font>
    </dxf>
    <dxf>
      <font>
        <strike val="0"/>
        <outline val="0"/>
        <shadow val="0"/>
        <u val="none"/>
        <vertAlign val="baseline"/>
        <sz val="12"/>
        <name val="Ebrima"/>
        <scheme val="none"/>
      </font>
    </dxf>
  </dxfs>
  <tableStyles count="0" defaultTableStyle="TableStyleMedium2" defaultPivotStyle="PivotStyleMedium9"/>
  <colors>
    <mruColors>
      <color rgb="FF00FF00"/>
      <color rgb="FFFFFF00"/>
      <color rgb="FFFFFD78"/>
      <color rgb="FF008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 sz="1800" b="1"/>
              <a:t>Valor Intrínseco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'4.Valoración'!$A$17</c:f>
              <c:strCache>
                <c:ptCount val="1"/>
                <c:pt idx="0">
                  <c:v>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_trad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'4.Valoración'!$B$15:$F$15</c:f>
            </c:strRef>
          </c:cat>
          <c:val>
            <c:numRef>
              <c:f>'4.Valoración'!$B$17:$F$17</c:f>
              <c:numCache>
                <c:formatCode>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CAE-4AC7-A87E-F0CB64A2EAEC}"/>
            </c:ext>
          </c:extLst>
        </c:ser>
        <c:ser>
          <c:idx val="1"/>
          <c:order val="1"/>
          <c:tx>
            <c:strRef>
              <c:f>TIKR_Cálculos!$A$4</c:f>
              <c:strCache>
                <c:ptCount val="1"/>
                <c:pt idx="0">
                  <c:v>Precio actual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'4.Valoración'!$B$15:$F$15</c:f>
            </c:strRef>
          </c:cat>
          <c:val>
            <c:numRef>
              <c:f>TIKR_Cálculos!$B$4:$F$4</c:f>
              <c:numCache>
                <c:formatCode>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CAE-4AC7-A87E-F0CB64A2E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5711072"/>
        <c:axId val="1786543760"/>
      </c:lineChart>
      <c:catAx>
        <c:axId val="172571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_tradnl"/>
          </a:p>
        </c:txPr>
        <c:crossAx val="1786543760"/>
        <c:crosses val="autoZero"/>
        <c:auto val="1"/>
        <c:lblAlgn val="ctr"/>
        <c:lblOffset val="100"/>
        <c:noMultiLvlLbl val="0"/>
      </c:catAx>
      <c:valAx>
        <c:axId val="178654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_tradnl"/>
          </a:p>
        </c:txPr>
        <c:crossAx val="172571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 dpi="0" rotWithShape="1">
      <a:blip xmlns:r="http://schemas.openxmlformats.org/officeDocument/2006/relationships" r:embed="rId3">
        <a:alphaModFix amt="8000"/>
      </a:blip>
      <a:srcRect/>
      <a:tile tx="0" ty="0" sx="100000" sy="100000" flip="none" algn="tl"/>
    </a:blipFill>
    <a:ln w="9525" cap="flat" cmpd="sng" algn="ctr">
      <a:noFill/>
      <a:round/>
    </a:ln>
    <a:effectLst/>
  </c:spPr>
  <c:txPr>
    <a:bodyPr/>
    <a:lstStyle/>
    <a:p>
      <a:pPr>
        <a:defRPr/>
      </a:pPr>
      <a:endParaRPr lang="es-ES_trad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13447059</xdr:colOff>
      <xdr:row>0</xdr:row>
      <xdr:rowOff>0</xdr:rowOff>
    </xdr:from>
    <xdr:to>
      <xdr:col>1</xdr:col>
      <xdr:colOff>16266259</xdr:colOff>
      <xdr:row>0</xdr:row>
      <xdr:rowOff>1094418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7E0245-0263-49B8-8AFB-FAA8B8377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38412" y="0"/>
          <a:ext cx="2819200" cy="10944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733065</xdr:colOff>
      <xdr:row>0</xdr:row>
      <xdr:rowOff>0</xdr:rowOff>
    </xdr:from>
    <xdr:to>
      <xdr:col>15</xdr:col>
      <xdr:colOff>874059</xdr:colOff>
      <xdr:row>0</xdr:row>
      <xdr:rowOff>750757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7C06BE-1C0C-E841-A125-212AB68B1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28359" y="0"/>
          <a:ext cx="1933935" cy="750757"/>
        </a:xfrm>
        <a:prstGeom prst="rect">
          <a:avLst/>
        </a:prstGeom>
      </xdr:spPr>
    </xdr:pic>
    <xdr:clientData/>
  </xdr:twoCellAnchor>
  <xdr:twoCellAnchor>
    <xdr:from>
      <xdr:col>19</xdr:col>
      <xdr:colOff>649941</xdr:colOff>
      <xdr:row>6</xdr:row>
      <xdr:rowOff>56029</xdr:rowOff>
    </xdr:from>
    <xdr:to>
      <xdr:col>19</xdr:col>
      <xdr:colOff>649941</xdr:colOff>
      <xdr:row>7</xdr:row>
      <xdr:rowOff>67235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54F4CCE1-5A57-11BD-A7A4-078C6D28505B}"/>
            </a:ext>
          </a:extLst>
        </xdr:cNvPr>
        <xdr:cNvCxnSpPr/>
      </xdr:nvCxnSpPr>
      <xdr:spPr>
        <a:xfrm flipV="1">
          <a:off x="20450735" y="2622176"/>
          <a:ext cx="0" cy="3249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6415</xdr:colOff>
      <xdr:row>9</xdr:row>
      <xdr:rowOff>0</xdr:rowOff>
    </xdr:from>
    <xdr:to>
      <xdr:col>16</xdr:col>
      <xdr:colOff>2211916</xdr:colOff>
      <xdr:row>18</xdr:row>
      <xdr:rowOff>48683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708A350-0D40-C43E-49A6-41C73A19CBF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846666</xdr:colOff>
      <xdr:row>12</xdr:row>
      <xdr:rowOff>158749</xdr:rowOff>
    </xdr:from>
    <xdr:to>
      <xdr:col>4</xdr:col>
      <xdr:colOff>740833</xdr:colOff>
      <xdr:row>12</xdr:row>
      <xdr:rowOff>158750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4269239A-3F11-402D-8769-07229F629553}"/>
            </a:ext>
          </a:extLst>
        </xdr:cNvPr>
        <xdr:cNvCxnSpPr/>
      </xdr:nvCxnSpPr>
      <xdr:spPr>
        <a:xfrm flipH="1" flipV="1">
          <a:off x="5672666" y="4709582"/>
          <a:ext cx="740834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42333</xdr:colOff>
      <xdr:row>6</xdr:row>
      <xdr:rowOff>179916</xdr:rowOff>
    </xdr:from>
    <xdr:to>
      <xdr:col>4</xdr:col>
      <xdr:colOff>730250</xdr:colOff>
      <xdr:row>12</xdr:row>
      <xdr:rowOff>148167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7D83C154-05CC-4F03-873D-E178BBCF8A67}"/>
            </a:ext>
          </a:extLst>
        </xdr:cNvPr>
        <xdr:cNvCxnSpPr/>
      </xdr:nvCxnSpPr>
      <xdr:spPr>
        <a:xfrm flipH="1" flipV="1">
          <a:off x="5715000" y="3344333"/>
          <a:ext cx="687917" cy="13546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603250</xdr:colOff>
      <xdr:row>0</xdr:row>
      <xdr:rowOff>0</xdr:rowOff>
    </xdr:from>
    <xdr:to>
      <xdr:col>15</xdr:col>
      <xdr:colOff>843852</xdr:colOff>
      <xdr:row>0</xdr:row>
      <xdr:rowOff>750757</xdr:rowOff>
    </xdr:to>
    <xdr:pic>
      <xdr:nvPicPr>
        <xdr:cNvPr id="2" name="Imagen 1" descr="Imagen que contiene Icono&#10;&#10;Descripción generada automáticamente">
          <a:extLst>
            <a:ext uri="{FF2B5EF4-FFF2-40B4-BE49-F238E27FC236}">
              <a16:creationId xmlns:a16="http://schemas.microsoft.com/office/drawing/2014/main" id="{529F7BAF-F32D-441F-97EF-E6D6FFCAE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95917" y="0"/>
          <a:ext cx="1933935" cy="7507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156881</xdr:colOff>
      <xdr:row>0</xdr:row>
      <xdr:rowOff>0</xdr:rowOff>
    </xdr:from>
    <xdr:to>
      <xdr:col>11</xdr:col>
      <xdr:colOff>17728</xdr:colOff>
      <xdr:row>0</xdr:row>
      <xdr:rowOff>1094418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AB85CA-365B-4A78-B906-74B4619B2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47293" y="0"/>
          <a:ext cx="2819200" cy="1094418"/>
        </a:xfrm>
        <a:prstGeom prst="rect">
          <a:avLst/>
        </a:prstGeom>
      </xdr:spPr>
    </xdr:pic>
    <xdr:clientData/>
  </xdr:twoCellAnchor>
  <xdr:twoCellAnchor editAs="oneCell">
    <xdr:from>
      <xdr:col>6</xdr:col>
      <xdr:colOff>112059</xdr:colOff>
      <xdr:row>0</xdr:row>
      <xdr:rowOff>156882</xdr:rowOff>
    </xdr:from>
    <xdr:to>
      <xdr:col>7</xdr:col>
      <xdr:colOff>40341</xdr:colOff>
      <xdr:row>0</xdr:row>
      <xdr:rowOff>1176057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8D5EC5F-CE57-84D3-3E8E-5B8AC0A0C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0235" y="156882"/>
          <a:ext cx="914400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238124</xdr:colOff>
      <xdr:row>0</xdr:row>
      <xdr:rowOff>204787</xdr:rowOff>
    </xdr:from>
    <xdr:to>
      <xdr:col>5</xdr:col>
      <xdr:colOff>3057324</xdr:colOff>
      <xdr:row>3</xdr:row>
      <xdr:rowOff>322892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D121E3B-C21F-4C47-81D0-99F9FB460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88062" y="204787"/>
          <a:ext cx="2819200" cy="109441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5C744F-6821-4010-B04C-2A04F830E376}" name="Tabla3" displayName="Tabla3" ref="A2:P13" headerRowCount="0" totalsRowShown="0" headerRowDxfId="40" dataDxfId="39" tableBorderDxfId="38">
  <tableColumns count="16">
    <tableColumn id="1" xr3:uid="{A6785006-F8E5-4C64-9FD0-27A59A5D5C99}" name="Columna1" dataDxfId="37" totalsRowDxfId="36"/>
    <tableColumn id="2" xr3:uid="{981C2CA3-CAE8-4430-949B-243AE4AAF960}" name="Columna2" dataDxfId="35" totalsRowDxfId="34" dataCellStyle="Porcentaje"/>
    <tableColumn id="3" xr3:uid="{05B4E26C-7803-4FE4-9783-4211E3EEA32B}" name="Columna3" dataDxfId="33" totalsRowDxfId="32" dataCellStyle="Porcentaje"/>
    <tableColumn id="4" xr3:uid="{8DA5225F-2555-474C-8C27-E7A1FC21344A}" name="Columna4" dataDxfId="31" totalsRowDxfId="30" dataCellStyle="Porcentaje"/>
    <tableColumn id="5" xr3:uid="{19F8591C-4479-413D-B705-650B30DEF405}" name="Columna5" dataDxfId="29" totalsRowDxfId="28" dataCellStyle="Porcentaje"/>
    <tableColumn id="6" xr3:uid="{1941A256-8DCA-4A7E-AD52-B81EA09BA49A}" name="Columna6" dataDxfId="27" totalsRowDxfId="26" dataCellStyle="Porcentaje"/>
    <tableColumn id="7" xr3:uid="{CF06C5C2-7817-4507-BFA7-43D9A7684B99}" name="Columna7" dataDxfId="25" totalsRowDxfId="24" dataCellStyle="Porcentaje"/>
    <tableColumn id="8" xr3:uid="{A6CC500A-793E-4AC7-A805-E9B1D5055605}" name="Columna8" dataDxfId="23" totalsRowDxfId="22" dataCellStyle="Porcentaje"/>
    <tableColumn id="26" xr3:uid="{0B545C41-E67D-4483-9C98-FA37E48CE39B}" name="Columna14" dataDxfId="21" totalsRowDxfId="20" dataCellStyle="Porcentaje">
      <calculatedColumnFormula>IFERROR(YEAR(VLOOKUP("Income Statement*",'7.TIKR_IS'!$A:$K,COLUMN(I3),FALSE)),H2+1)</calculatedColumnFormula>
    </tableColumn>
    <tableColumn id="27" xr3:uid="{152C1E1C-8951-461E-9BC4-D433CDB80813}" name="Columna15" dataDxfId="19" totalsRowDxfId="18" dataCellStyle="Porcentaje">
      <calculatedColumnFormula>IFERROR(YEAR(VLOOKUP("Income Statement*",'7.TIKR_IS'!$A:$K,COLUMN(J3),FALSE)),I2+1)</calculatedColumnFormula>
    </tableColumn>
    <tableColumn id="28" xr3:uid="{8F4400F9-2BC0-43E5-A7FC-855F8DABA093}" name="Columna16" dataDxfId="17" totalsRowDxfId="16" dataCellStyle="Porcentaje">
      <calculatedColumnFormula>IFERROR(YEAR(VLOOKUP("Income Statement*",'7.TIKR_IS'!$A:$K,COLUMN(K3),FALSE)),J2+1)</calculatedColumnFormula>
    </tableColumn>
    <tableColumn id="9" xr3:uid="{6B4891E9-5875-43D0-AAAA-C9094399640F}" name="Columna9" dataDxfId="15" totalsRowDxfId="14" dataCellStyle="Porcentaje"/>
    <tableColumn id="10" xr3:uid="{41432F5A-0AFB-469C-9CA5-86091AA8061A}" name="Columna10" dataDxfId="13" totalsRowDxfId="12" dataCellStyle="Porcentaje"/>
    <tableColumn id="11" xr3:uid="{A781D52B-7709-4D76-9137-322146222404}" name="Columna11" dataDxfId="11" totalsRowDxfId="10" dataCellStyle="Porcentaje"/>
    <tableColumn id="12" xr3:uid="{51F4EFE8-3D05-4C21-A43C-A2D80156AEF7}" name="Columna12" dataDxfId="9" totalsRowDxfId="8" dataCellStyle="Porcentaje"/>
    <tableColumn id="13" xr3:uid="{A5653B19-9C81-444D-A0FD-CC4A9CE1A8AA}" name="Columna13" dataDxfId="7" totalsRowDxfId="6" dataCellStyle="Porcentaj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7CDC-1735-4D2B-9DFA-DC9FA9A30865}">
  <dimension ref="A1:O23"/>
  <sheetViews>
    <sheetView showGridLines="0" tabSelected="1" zoomScale="85" zoomScaleNormal="85" workbookViewId="0">
      <selection activeCell="B19" sqref="B19"/>
    </sheetView>
  </sheetViews>
  <sheetFormatPr baseColWidth="10" defaultColWidth="0" defaultRowHeight="15" zeroHeight="1" x14ac:dyDescent="0.25"/>
  <cols>
    <col min="1" max="1" width="4.28515625" customWidth="1"/>
    <col min="2" max="2" width="246.42578125" customWidth="1"/>
    <col min="3" max="3" width="13.42578125" customWidth="1"/>
    <col min="4" max="15" width="0" hidden="1" customWidth="1"/>
    <col min="16" max="16384" width="11.42578125" hidden="1"/>
  </cols>
  <sheetData>
    <row r="1" spans="2:2" ht="87" customHeight="1" x14ac:dyDescent="0.25"/>
    <row r="2" spans="2:2" ht="25.5" x14ac:dyDescent="0.25">
      <c r="B2" s="111" t="s">
        <v>96</v>
      </c>
    </row>
    <row r="3" spans="2:2" ht="9.9499999999999993" customHeight="1" x14ac:dyDescent="0.3">
      <c r="B3" s="16"/>
    </row>
    <row r="4" spans="2:2" ht="20.25" x14ac:dyDescent="0.25">
      <c r="B4" s="80" t="s">
        <v>95</v>
      </c>
    </row>
    <row r="5" spans="2:2" ht="9.9499999999999993" customHeight="1" x14ac:dyDescent="0.25">
      <c r="B5" s="80"/>
    </row>
    <row r="6" spans="2:2" ht="17.25" x14ac:dyDescent="0.25">
      <c r="B6" s="80" t="s">
        <v>93</v>
      </c>
    </row>
    <row r="7" spans="2:2" ht="9.9499999999999993" customHeight="1" x14ac:dyDescent="0.25">
      <c r="B7" s="80"/>
    </row>
    <row r="8" spans="2:2" ht="20.25" x14ac:dyDescent="0.25">
      <c r="B8" s="80" t="s">
        <v>108</v>
      </c>
    </row>
    <row r="9" spans="2:2" ht="9.9499999999999993" customHeight="1" x14ac:dyDescent="0.25">
      <c r="B9" s="80"/>
    </row>
    <row r="10" spans="2:2" ht="17.25" x14ac:dyDescent="0.25">
      <c r="B10" s="81" t="s">
        <v>80</v>
      </c>
    </row>
    <row r="11" spans="2:2" ht="9.9499999999999993" customHeight="1" x14ac:dyDescent="0.25">
      <c r="B11" s="81"/>
    </row>
    <row r="12" spans="2:2" ht="34.5" x14ac:dyDescent="0.25">
      <c r="B12" s="151" t="s">
        <v>106</v>
      </c>
    </row>
    <row r="13" spans="2:2" ht="9.9499999999999993" customHeight="1" x14ac:dyDescent="0.25">
      <c r="B13" s="81"/>
    </row>
    <row r="14" spans="2:2" ht="17.25" x14ac:dyDescent="0.25">
      <c r="B14" s="81" t="s">
        <v>109</v>
      </c>
    </row>
    <row r="15" spans="2:2" ht="17.25" x14ac:dyDescent="0.3">
      <c r="B15" s="47" t="s">
        <v>91</v>
      </c>
    </row>
    <row r="16" spans="2:2" ht="25.5" x14ac:dyDescent="0.25">
      <c r="B16" s="111" t="s">
        <v>133</v>
      </c>
    </row>
    <row r="17" spans="2:2" ht="9.9499999999999993" customHeight="1" x14ac:dyDescent="0.3">
      <c r="B17" s="47"/>
    </row>
    <row r="18" spans="2:2" ht="17.25" x14ac:dyDescent="0.3">
      <c r="B18" s="47" t="s">
        <v>136</v>
      </c>
    </row>
    <row r="19" spans="2:2" ht="9.9499999999999993" customHeight="1" x14ac:dyDescent="0.3">
      <c r="B19" s="47"/>
    </row>
    <row r="20" spans="2:2" ht="17.25" x14ac:dyDescent="0.25">
      <c r="B20" s="80" t="s">
        <v>134</v>
      </c>
    </row>
    <row r="21" spans="2:2" ht="9.9499999999999993" customHeight="1" x14ac:dyDescent="0.3">
      <c r="B21" s="47"/>
    </row>
    <row r="22" spans="2:2" ht="17.25" x14ac:dyDescent="0.25">
      <c r="B22" s="80" t="s">
        <v>135</v>
      </c>
    </row>
    <row r="23" spans="2:2" s="118" customFormat="1" ht="24.95" customHeight="1" x14ac:dyDescent="0.25">
      <c r="B23" s="80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7"/>
  <sheetViews>
    <sheetView showGridLines="0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0" defaultRowHeight="17.25" zeroHeight="1" x14ac:dyDescent="0.3"/>
  <cols>
    <col min="1" max="1" width="40.5703125" style="4" customWidth="1"/>
    <col min="2" max="2" width="14.140625" style="5" bestFit="1" customWidth="1"/>
    <col min="3" max="3" width="17.42578125" style="5" bestFit="1" customWidth="1"/>
    <col min="4" max="8" width="12.85546875" style="5" bestFit="1" customWidth="1"/>
    <col min="9" max="11" width="12.85546875" style="5" customWidth="1"/>
    <col min="12" max="12" width="14.42578125" style="5" bestFit="1" customWidth="1"/>
    <col min="13" max="16" width="13.42578125" style="5" bestFit="1" customWidth="1"/>
    <col min="17" max="17" width="3" style="4" customWidth="1"/>
    <col min="18" max="18" width="28.5703125" style="4" customWidth="1"/>
    <col min="19" max="19" width="16.5703125" style="5" customWidth="1"/>
    <col min="20" max="20" width="19.5703125" style="5" customWidth="1"/>
    <col min="21" max="21" width="1.28515625" style="6" customWidth="1"/>
    <col min="22" max="23" width="11.42578125" style="6" hidden="1" customWidth="1"/>
    <col min="24" max="24" width="0" style="6" hidden="1" customWidth="1"/>
    <col min="25" max="16384" width="11.42578125" style="6" hidden="1"/>
  </cols>
  <sheetData>
    <row r="1" spans="1:23" s="2" customFormat="1" ht="60" customHeight="1" thickBot="1" x14ac:dyDescent="0.3">
      <c r="A1"/>
      <c r="B1" s="14" t="s">
        <v>118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/>
      <c r="R1"/>
      <c r="S1" s="3"/>
      <c r="T1" s="129"/>
      <c r="U1" s="1"/>
      <c r="V1" s="1"/>
    </row>
    <row r="2" spans="1:23" ht="44.1" customHeight="1" thickTop="1" x14ac:dyDescent="0.3">
      <c r="A2" s="83" t="s">
        <v>50</v>
      </c>
      <c r="B2" s="48" t="str">
        <f>IFERROR(IF(VLOOKUP("Income Statement*",'7.TIKR_IS'!$A:$K,COLUMN(B3),FALSE)="","",IFERROR(YEAR(VLOOKUP("Income Statement*",'7.TIKR_IS'!$A:$K,COLUMN(B3),FALSE)),"2014")),"")</f>
        <v/>
      </c>
      <c r="C2" s="48" t="str">
        <f>IFERROR(IF(VLOOKUP("Income Statement*",'7.TIKR_IS'!$A:$K,COLUMN(C3),FALSE)="","",IFERROR(YEAR(VLOOKUP("Income Statement*",'7.TIKR_IS'!$A:$K,COLUMN(C3),FALSE)),B2+1)),"")</f>
        <v/>
      </c>
      <c r="D2" s="48" t="str">
        <f>IFERROR(IF(VLOOKUP("Income Statement*",'7.TIKR_IS'!$A:$K,COLUMN(D3),FALSE)="","",IFERROR(YEAR(VLOOKUP("Income Statement*",'7.TIKR_IS'!$A:$K,COLUMN(D3),FALSE)),C2+1)),"")</f>
        <v/>
      </c>
      <c r="E2" s="48" t="str">
        <f>IFERROR(IF(VLOOKUP("Income Statement*",'7.TIKR_IS'!$A:$K,COLUMN(E3),FALSE)="","",IFERROR(YEAR(VLOOKUP("Income Statement*",'7.TIKR_IS'!$A:$K,COLUMN(E3),FALSE)),D2+1)),"")</f>
        <v/>
      </c>
      <c r="F2" s="48" t="str">
        <f>IFERROR(IF(VLOOKUP("Income Statement*",'7.TIKR_IS'!$A:$K,COLUMN(F3),FALSE)="","",IFERROR(YEAR(VLOOKUP("Income Statement*",'7.TIKR_IS'!$A:$K,COLUMN(F3),FALSE)),E2+1)),"")</f>
        <v/>
      </c>
      <c r="G2" s="48" t="str">
        <f>IFERROR(IF(VLOOKUP("Income Statement*",'7.TIKR_IS'!$A:$K,COLUMN(G3),FALSE)="","",IFERROR(YEAR(VLOOKUP("Income Statement*",'7.TIKR_IS'!$A:$K,COLUMN(G3),FALSE)),F2+1)),"")</f>
        <v/>
      </c>
      <c r="H2" s="48" t="str">
        <f>IFERROR(IF(VLOOKUP("Income Statement*",'7.TIKR_IS'!$A:$K,COLUMN(H3),FALSE)="","",IFERROR(YEAR(VLOOKUP("Income Statement*",'7.TIKR_IS'!$A:$K,COLUMN(H3),FALSE)),G2+1)),"")</f>
        <v/>
      </c>
      <c r="I2" s="48" t="str">
        <f>IFERROR(IF(VLOOKUP("Income Statement*",'7.TIKR_IS'!$A:$K,COLUMN(I3),FALSE)="","",IFERROR(YEAR(VLOOKUP("Income Statement*",'7.TIKR_IS'!$A:$K,COLUMN(I3),FALSE)),H2+1)),"")</f>
        <v/>
      </c>
      <c r="J2" s="48" t="str">
        <f>IFERROR(IF(VLOOKUP("Income Statement*",'7.TIKR_IS'!$A:$K,COLUMN(J3),FALSE)="","",IFERROR(YEAR(VLOOKUP("Income Statement*",'7.TIKR_IS'!$A:$K,COLUMN(J3),FALSE)),I2+1)),"")</f>
        <v/>
      </c>
      <c r="K2" s="48" t="str">
        <f>IFERROR(IF(VLOOKUP("Income Statement*",'7.TIKR_IS'!$A:$K,COLUMN(K3),FALSE)="","",IFERROR(YEAR(VLOOKUP("Income Statement*",'7.TIKR_IS'!$A:$K,COLUMN(K3),FALSE)),J2+1)),"")</f>
        <v/>
      </c>
      <c r="L2" s="8" t="str">
        <f>IF(K2&lt;&gt;"",(K2+1)&amp;"e","")</f>
        <v/>
      </c>
      <c r="M2" s="8" t="str">
        <f>IF(L2&lt;&gt;"",(LEFT(L2,4)+1)&amp;"e","")</f>
        <v/>
      </c>
      <c r="N2" s="8" t="str">
        <f t="shared" ref="N2:P2" si="0">IF(M2&lt;&gt;"",(LEFT(M2,4)+1)&amp;"e","")</f>
        <v/>
      </c>
      <c r="O2" s="8" t="str">
        <f t="shared" si="0"/>
        <v/>
      </c>
      <c r="P2" s="8" t="str">
        <f t="shared" si="0"/>
        <v/>
      </c>
      <c r="R2" s="58" t="s">
        <v>51</v>
      </c>
      <c r="S2" s="54" t="str">
        <f>"Promedio "&amp;CHAR(10)&amp;B2&amp;" - "&amp;K2</f>
        <v xml:space="preserve">Promedio 
 - </v>
      </c>
      <c r="T2" s="120" t="str">
        <f>"Estimaciones "&amp;CHAR(10)&amp;L2&amp;" - "&amp;P2</f>
        <v xml:space="preserve">Estimaciones 
 - </v>
      </c>
      <c r="U2" s="21"/>
      <c r="V2" s="21"/>
      <c r="W2" s="21"/>
    </row>
    <row r="3" spans="1:23" ht="24.95" customHeight="1" x14ac:dyDescent="0.25">
      <c r="A3" s="91" t="s">
        <v>4</v>
      </c>
      <c r="B3" s="84" t="str">
        <f>IFERROR(VLOOKUP("Total Revenues*",'7.TIKR_IS'!$A:$K,COLUMN(B3),FALSE),"0")</f>
        <v>0</v>
      </c>
      <c r="C3" s="49" t="str">
        <f>IFERROR(VLOOKUP("Total Revenues*",'7.TIKR_IS'!$A:$K,COLUMN(C3),FALSE),"0")</f>
        <v>0</v>
      </c>
      <c r="D3" s="49" t="str">
        <f>IFERROR(VLOOKUP("Total Revenues*",'7.TIKR_IS'!$A:$K,COLUMN(D3),FALSE),"0")</f>
        <v>0</v>
      </c>
      <c r="E3" s="49" t="str">
        <f>IFERROR(VLOOKUP("Total Revenues*",'7.TIKR_IS'!$A:$K,COLUMN(E3),FALSE),"0")</f>
        <v>0</v>
      </c>
      <c r="F3" s="49" t="str">
        <f>IFERROR(VLOOKUP("Total Revenues*",'7.TIKR_IS'!$A:$K,COLUMN(F3),FALSE),"0")</f>
        <v>0</v>
      </c>
      <c r="G3" s="49" t="str">
        <f>IFERROR(VLOOKUP("Total Revenues*",'7.TIKR_IS'!$A:$K,COLUMN(G3),FALSE),"0")</f>
        <v>0</v>
      </c>
      <c r="H3" s="49" t="str">
        <f>IFERROR(VLOOKUP("Total Revenues*",'7.TIKR_IS'!$A:$K,COLUMN(H3),FALSE),"0")</f>
        <v>0</v>
      </c>
      <c r="I3" s="49" t="str">
        <f>IFERROR(VLOOKUP("Total Revenues*",'7.TIKR_IS'!$A:$K,COLUMN(I3),FALSE),"0")</f>
        <v>0</v>
      </c>
      <c r="J3" s="49" t="str">
        <f>IFERROR(VLOOKUP("Total Revenues*",'7.TIKR_IS'!$A:$K,COLUMN(J3),FALSE),"0")</f>
        <v>0</v>
      </c>
      <c r="K3" s="49" t="str">
        <f>IFERROR(VLOOKUP("Total Revenues*",'7.TIKR_IS'!$A:$K,COLUMN(K3),FALSE),"0")</f>
        <v>0</v>
      </c>
      <c r="L3" s="124" t="str">
        <f>IFERROR((K3*$T$3)+K3,"")</f>
        <v/>
      </c>
      <c r="M3" s="9" t="str">
        <f>IFERROR((L3*$T$3)+L3,"")</f>
        <v/>
      </c>
      <c r="N3" s="9" t="str">
        <f>IFERROR((M3*$T$3)+M3,"")</f>
        <v/>
      </c>
      <c r="O3" s="9" t="str">
        <f>IFERROR((N3*$T$3)+N3,"")</f>
        <v/>
      </c>
      <c r="P3" s="92" t="str">
        <f>IFERROR((O3*$T$3)+O3,"")</f>
        <v/>
      </c>
      <c r="Q3" s="6"/>
      <c r="R3" s="55" t="s">
        <v>49</v>
      </c>
      <c r="S3" s="50" t="str">
        <f>IFERROR(AVERAGE(C4:K4),"")</f>
        <v/>
      </c>
      <c r="T3" s="121" t="str">
        <f>S3</f>
        <v/>
      </c>
      <c r="U3" s="21"/>
      <c r="V3" s="21"/>
      <c r="W3" s="21"/>
    </row>
    <row r="4" spans="1:23" ht="24.95" customHeight="1" x14ac:dyDescent="0.25">
      <c r="A4" s="59" t="s">
        <v>6</v>
      </c>
      <c r="B4" s="85"/>
      <c r="C4" s="10" t="str">
        <f t="shared" ref="C4:H4" si="1">IFERROR((C3-B3)/B3,"")</f>
        <v/>
      </c>
      <c r="D4" s="10" t="str">
        <f t="shared" si="1"/>
        <v/>
      </c>
      <c r="E4" s="10" t="str">
        <f t="shared" si="1"/>
        <v/>
      </c>
      <c r="F4" s="10" t="str">
        <f>IFERROR((F3-E3)/E3,"")</f>
        <v/>
      </c>
      <c r="G4" s="10" t="str">
        <f t="shared" si="1"/>
        <v/>
      </c>
      <c r="H4" s="10" t="str">
        <f t="shared" si="1"/>
        <v/>
      </c>
      <c r="I4" s="10" t="str">
        <f t="shared" ref="I4" si="2">IFERROR((I3-H3)/H3,"")</f>
        <v/>
      </c>
      <c r="J4" s="10" t="str">
        <f t="shared" ref="J4" si="3">IFERROR((J3-I3)/I3,"")</f>
        <v/>
      </c>
      <c r="K4" s="10" t="str">
        <f t="shared" ref="K4" si="4">IFERROR((K3-J3)/J3,"")</f>
        <v/>
      </c>
      <c r="L4" s="85" t="str">
        <f>$T$3</f>
        <v/>
      </c>
      <c r="M4" s="10" t="str">
        <f>$T$3</f>
        <v/>
      </c>
      <c r="N4" s="10" t="str">
        <f>$T$3</f>
        <v/>
      </c>
      <c r="O4" s="10" t="str">
        <f>$T$3</f>
        <v/>
      </c>
      <c r="P4" s="93" t="str">
        <f>$T$3</f>
        <v/>
      </c>
      <c r="Q4" s="6"/>
      <c r="R4" s="56" t="s">
        <v>116</v>
      </c>
      <c r="S4" s="51" t="str">
        <f>IFERROR(AVERAGE(B6:K6),"")</f>
        <v/>
      </c>
      <c r="T4" s="121" t="str">
        <f>S4</f>
        <v/>
      </c>
      <c r="U4" s="21"/>
      <c r="V4" s="21"/>
      <c r="W4" s="21"/>
    </row>
    <row r="5" spans="1:23" ht="24.95" customHeight="1" x14ac:dyDescent="0.25">
      <c r="A5" s="91" t="s">
        <v>111</v>
      </c>
      <c r="B5" s="88" t="str">
        <f>IFERROR(VLOOKUP("EBT Incl. Unusual Items*",'7.TIKR_IS'!$A:$K,COLUMN(B2),FALSE),"0")</f>
        <v>0</v>
      </c>
      <c r="C5" s="78" t="str">
        <f>IFERROR(VLOOKUP("EBT Incl. Unusual Items*",'7.TIKR_IS'!$A:$K,COLUMN(C2),FALSE),"0")</f>
        <v>0</v>
      </c>
      <c r="D5" s="78" t="str">
        <f>IFERROR(VLOOKUP("EBT Incl. Unusual Items*",'7.TIKR_IS'!$A:$K,COLUMN(D2),FALSE),"0")</f>
        <v>0</v>
      </c>
      <c r="E5" s="78" t="str">
        <f>IFERROR(VLOOKUP("EBT Incl. Unusual Items*",'7.TIKR_IS'!$A:$K,COLUMN(E2),FALSE),"0")</f>
        <v>0</v>
      </c>
      <c r="F5" s="78" t="str">
        <f>IFERROR(VLOOKUP("EBT Incl. Unusual Items*",'7.TIKR_IS'!$A:$K,COLUMN(F2),FALSE),"0")</f>
        <v>0</v>
      </c>
      <c r="G5" s="78" t="str">
        <f>IFERROR(VLOOKUP("EBT Incl. Unusual Items*",'7.TIKR_IS'!$A:$K,COLUMN(G2),FALSE),"0")</f>
        <v>0</v>
      </c>
      <c r="H5" s="78" t="str">
        <f>IFERROR(VLOOKUP("EBT Incl. Unusual Items*",'7.TIKR_IS'!$A:$K,COLUMN(H2),FALSE),"0")</f>
        <v>0</v>
      </c>
      <c r="I5" s="78" t="str">
        <f>IFERROR(VLOOKUP("EBT Incl. Unusual Items*",'7.TIKR_IS'!$A:$K,COLUMN(I2),FALSE),"0")</f>
        <v>0</v>
      </c>
      <c r="J5" s="78" t="str">
        <f>IFERROR(VLOOKUP("EBT Incl. Unusual Items*",'7.TIKR_IS'!$A:$K,COLUMN(J2),FALSE),"0")</f>
        <v>0</v>
      </c>
      <c r="K5" s="78" t="str">
        <f>IFERROR(VLOOKUP("EBT Incl. Unusual Items*",'7.TIKR_IS'!$A:$K,COLUMN(K2),FALSE),"0")</f>
        <v>0</v>
      </c>
      <c r="L5" s="86" t="str">
        <f>IFERROR(L3*$T$4,"")</f>
        <v/>
      </c>
      <c r="M5" s="75" t="str">
        <f>IFERROR(M3*$T$4,"")</f>
        <v/>
      </c>
      <c r="N5" s="75" t="str">
        <f>IFERROR(N3*$T$4,"")</f>
        <v/>
      </c>
      <c r="O5" s="75" t="str">
        <f>IFERROR(O3*$T$4,"")</f>
        <v/>
      </c>
      <c r="P5" s="94" t="str">
        <f>IFERROR(P3*$T$4,"")</f>
        <v/>
      </c>
      <c r="Q5" s="6"/>
      <c r="R5" s="56" t="s">
        <v>117</v>
      </c>
      <c r="S5" s="51" t="str">
        <f>IFERROR(AVERAGE(B8:K8),"")</f>
        <v/>
      </c>
      <c r="T5" s="121" t="str">
        <f>S5</f>
        <v/>
      </c>
      <c r="U5" s="21"/>
      <c r="V5" s="21"/>
      <c r="W5" s="21"/>
    </row>
    <row r="6" spans="1:23" ht="24.95" customHeight="1" thickBot="1" x14ac:dyDescent="0.3">
      <c r="A6" s="59" t="s">
        <v>112</v>
      </c>
      <c r="B6" s="85" t="str">
        <f t="shared" ref="B6:P6" si="5">IFERROR((B5/B3),"")</f>
        <v/>
      </c>
      <c r="C6" s="10" t="str">
        <f t="shared" si="5"/>
        <v/>
      </c>
      <c r="D6" s="10" t="str">
        <f t="shared" si="5"/>
        <v/>
      </c>
      <c r="E6" s="10" t="str">
        <f t="shared" si="5"/>
        <v/>
      </c>
      <c r="F6" s="10" t="str">
        <f t="shared" si="5"/>
        <v/>
      </c>
      <c r="G6" s="10" t="str">
        <f t="shared" si="5"/>
        <v/>
      </c>
      <c r="H6" s="10" t="str">
        <f t="shared" si="5"/>
        <v/>
      </c>
      <c r="I6" s="10" t="str">
        <f t="shared" si="5"/>
        <v/>
      </c>
      <c r="J6" s="10" t="str">
        <f t="shared" si="5"/>
        <v/>
      </c>
      <c r="K6" s="10" t="str">
        <f t="shared" si="5"/>
        <v/>
      </c>
      <c r="L6" s="85" t="str">
        <f t="shared" si="5"/>
        <v/>
      </c>
      <c r="M6" s="10" t="str">
        <f t="shared" si="5"/>
        <v/>
      </c>
      <c r="N6" s="10" t="str">
        <f t="shared" si="5"/>
        <v/>
      </c>
      <c r="O6" s="10" t="str">
        <f t="shared" si="5"/>
        <v/>
      </c>
      <c r="P6" s="93" t="str">
        <f t="shared" si="5"/>
        <v/>
      </c>
      <c r="Q6" s="6"/>
      <c r="R6" s="57" t="s">
        <v>48</v>
      </c>
      <c r="S6" s="52" t="str">
        <f>IFERROR(AVERAGE(C12:K12),"")</f>
        <v/>
      </c>
      <c r="T6" s="122" t="str">
        <f>S6</f>
        <v/>
      </c>
      <c r="U6" s="21"/>
      <c r="V6" s="21"/>
      <c r="W6" s="21"/>
    </row>
    <row r="7" spans="1:23" ht="24.95" customHeight="1" thickTop="1" x14ac:dyDescent="0.25">
      <c r="A7" s="95" t="s">
        <v>113</v>
      </c>
      <c r="B7" s="87" t="str">
        <f>IFERROR(VLOOKUP("Income Tax Expense*",'7.TIKR_IS'!$A:$K,COLUMN(B2),FALSE),"0")</f>
        <v>0</v>
      </c>
      <c r="C7" s="76" t="str">
        <f>IFERROR(VLOOKUP("Income Tax Expense*",'7.TIKR_IS'!$A:$K,COLUMN(C2),FALSE),"0")</f>
        <v>0</v>
      </c>
      <c r="D7" s="76" t="str">
        <f>IFERROR(VLOOKUP("Income Tax Expense*",'7.TIKR_IS'!$A:$K,COLUMN(D2),FALSE),"0")</f>
        <v>0</v>
      </c>
      <c r="E7" s="76" t="str">
        <f>IFERROR(VLOOKUP("Income Tax Expense*",'7.TIKR_IS'!$A:$K,COLUMN(E2),FALSE),"0")</f>
        <v>0</v>
      </c>
      <c r="F7" s="76" t="str">
        <f>IFERROR(VLOOKUP("Income Tax Expense*",'7.TIKR_IS'!$A:$K,COLUMN(F2),FALSE),"0")</f>
        <v>0</v>
      </c>
      <c r="G7" s="76" t="str">
        <f>IFERROR(VLOOKUP("Income Tax Expense*",'7.TIKR_IS'!$A:$K,COLUMN(G2),FALSE),"0")</f>
        <v>0</v>
      </c>
      <c r="H7" s="76" t="str">
        <f>IFERROR(VLOOKUP("Income Tax Expense*",'7.TIKR_IS'!$A:$K,COLUMN(H2),FALSE),"0")</f>
        <v>0</v>
      </c>
      <c r="I7" s="76" t="str">
        <f>IFERROR(VLOOKUP("Income Tax Expense*",'7.TIKR_IS'!$A:$K,COLUMN(I2),FALSE),"0")</f>
        <v>0</v>
      </c>
      <c r="J7" s="76" t="str">
        <f>IFERROR(VLOOKUP("Income Tax Expense*",'7.TIKR_IS'!$A:$K,COLUMN(J2),FALSE),"0")</f>
        <v>0</v>
      </c>
      <c r="K7" s="76" t="str">
        <f>IFERROR(VLOOKUP("Income Tax Expense*",'7.TIKR_IS'!$A:$K,COLUMN(K2),FALSE),"0")</f>
        <v>0</v>
      </c>
      <c r="L7" s="89" t="str">
        <f>IFERROR(-$T$5*L5,"")</f>
        <v/>
      </c>
      <c r="M7" s="77" t="str">
        <f t="shared" ref="M7:P7" si="6">IFERROR(-$T$5*M5,"")</f>
        <v/>
      </c>
      <c r="N7" s="77" t="str">
        <f t="shared" si="6"/>
        <v/>
      </c>
      <c r="O7" s="77" t="str">
        <f t="shared" si="6"/>
        <v/>
      </c>
      <c r="P7" s="96" t="str">
        <f t="shared" si="6"/>
        <v/>
      </c>
      <c r="Q7" s="6"/>
      <c r="R7" s="6"/>
      <c r="S7" s="7"/>
      <c r="T7" s="7"/>
      <c r="U7" s="21"/>
      <c r="V7" s="21"/>
      <c r="W7" s="21"/>
    </row>
    <row r="8" spans="1:23" ht="24.95" customHeight="1" x14ac:dyDescent="0.25">
      <c r="A8" s="160" t="s">
        <v>110</v>
      </c>
      <c r="B8" s="85" t="str">
        <f>IFERROR(-B7/B5,"")</f>
        <v/>
      </c>
      <c r="C8" s="157" t="str">
        <f t="shared" ref="C8:K8" si="7">IFERROR(-C7/C5,"")</f>
        <v/>
      </c>
      <c r="D8" s="157" t="str">
        <f t="shared" si="7"/>
        <v/>
      </c>
      <c r="E8" s="157" t="str">
        <f t="shared" si="7"/>
        <v/>
      </c>
      <c r="F8" s="157" t="str">
        <f t="shared" si="7"/>
        <v/>
      </c>
      <c r="G8" s="157" t="str">
        <f t="shared" si="7"/>
        <v/>
      </c>
      <c r="H8" s="157" t="str">
        <f t="shared" si="7"/>
        <v/>
      </c>
      <c r="I8" s="157" t="str">
        <f t="shared" si="7"/>
        <v/>
      </c>
      <c r="J8" s="157" t="str">
        <f t="shared" si="7"/>
        <v/>
      </c>
      <c r="K8" s="157" t="str">
        <f t="shared" si="7"/>
        <v/>
      </c>
      <c r="L8" s="85" t="str">
        <f>IFERROR(-L7/L5,"")</f>
        <v/>
      </c>
      <c r="M8" s="157" t="str">
        <f t="shared" ref="M8:P8" si="8">IFERROR(-M7/M5,"")</f>
        <v/>
      </c>
      <c r="N8" s="157" t="str">
        <f t="shared" si="8"/>
        <v/>
      </c>
      <c r="O8" s="157" t="str">
        <f t="shared" si="8"/>
        <v/>
      </c>
      <c r="P8" s="93" t="str">
        <f t="shared" si="8"/>
        <v/>
      </c>
      <c r="Q8" s="6"/>
      <c r="R8" s="6"/>
      <c r="S8" s="6"/>
      <c r="T8" s="212" t="s">
        <v>94</v>
      </c>
      <c r="U8" s="21"/>
      <c r="V8" s="21"/>
      <c r="W8" s="21"/>
    </row>
    <row r="9" spans="1:23" ht="24.95" customHeight="1" x14ac:dyDescent="0.25">
      <c r="A9" s="95" t="s">
        <v>0</v>
      </c>
      <c r="B9" s="90">
        <f>B5+B7</f>
        <v>0</v>
      </c>
      <c r="C9" s="13">
        <f t="shared" ref="C9:K9" si="9">C5+C7</f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25" t="str">
        <f>IFERROR(L5+L7,"")</f>
        <v/>
      </c>
      <c r="M9" s="11" t="str">
        <f t="shared" ref="M9:P9" si="10">IFERROR(M5+M7,"")</f>
        <v/>
      </c>
      <c r="N9" s="11" t="str">
        <f t="shared" si="10"/>
        <v/>
      </c>
      <c r="O9" s="11" t="str">
        <f t="shared" si="10"/>
        <v/>
      </c>
      <c r="P9" s="97" t="str">
        <f t="shared" si="10"/>
        <v/>
      </c>
      <c r="Q9" s="6"/>
      <c r="R9" s="6"/>
      <c r="S9" s="6"/>
      <c r="T9" s="212"/>
      <c r="U9" s="21"/>
      <c r="V9" s="21"/>
      <c r="W9" s="21"/>
    </row>
    <row r="10" spans="1:23" ht="24.95" customHeight="1" x14ac:dyDescent="0.3">
      <c r="A10" s="161" t="s">
        <v>114</v>
      </c>
      <c r="B10" s="85" t="str">
        <f>IFERROR(B9/B3,"")</f>
        <v/>
      </c>
      <c r="C10" s="157" t="str">
        <f t="shared" ref="C10:P10" si="11">IFERROR(C9/C3,"")</f>
        <v/>
      </c>
      <c r="D10" s="157" t="str">
        <f t="shared" si="11"/>
        <v/>
      </c>
      <c r="E10" s="157" t="str">
        <f t="shared" si="11"/>
        <v/>
      </c>
      <c r="F10" s="157" t="str">
        <f t="shared" si="11"/>
        <v/>
      </c>
      <c r="G10" s="157" t="str">
        <f t="shared" si="11"/>
        <v/>
      </c>
      <c r="H10" s="157" t="str">
        <f t="shared" si="11"/>
        <v/>
      </c>
      <c r="I10" s="157" t="str">
        <f t="shared" si="11"/>
        <v/>
      </c>
      <c r="J10" s="157" t="str">
        <f t="shared" si="11"/>
        <v/>
      </c>
      <c r="K10" s="157" t="str">
        <f t="shared" si="11"/>
        <v/>
      </c>
      <c r="L10" s="85" t="str">
        <f t="shared" si="11"/>
        <v/>
      </c>
      <c r="M10" s="157" t="str">
        <f t="shared" si="11"/>
        <v/>
      </c>
      <c r="N10" s="157" t="str">
        <f t="shared" si="11"/>
        <v/>
      </c>
      <c r="O10" s="157" t="str">
        <f t="shared" si="11"/>
        <v/>
      </c>
      <c r="P10" s="93" t="str">
        <f t="shared" si="11"/>
        <v/>
      </c>
      <c r="Q10" s="6"/>
      <c r="U10" s="21"/>
      <c r="V10" s="21"/>
      <c r="W10" s="21"/>
    </row>
    <row r="11" spans="1:23" ht="24.95" customHeight="1" x14ac:dyDescent="0.25">
      <c r="A11" s="95" t="s">
        <v>77</v>
      </c>
      <c r="B11" s="90" t="str">
        <f>IFERROR(VLOOKUP("*Diluted Shares Outstanding*",'7.TIKR_IS'!$A:$K,COLUMN(B11),FALSE),"0")</f>
        <v>0</v>
      </c>
      <c r="C11" s="13" t="str">
        <f>IFERROR(VLOOKUP("*Diluted Shares Outstanding*",'7.TIKR_IS'!$A:$K,COLUMN(C11),FALSE),"0")</f>
        <v>0</v>
      </c>
      <c r="D11" s="13" t="str">
        <f>IFERROR(VLOOKUP("*Diluted Shares Outstanding*",'7.TIKR_IS'!$A:$K,COLUMN(D11),FALSE),"0")</f>
        <v>0</v>
      </c>
      <c r="E11" s="13" t="str">
        <f>IFERROR(VLOOKUP("*Diluted Shares Outstanding*",'7.TIKR_IS'!$A:$K,COLUMN(E11),FALSE),"0")</f>
        <v>0</v>
      </c>
      <c r="F11" s="13" t="str">
        <f>IFERROR(VLOOKUP("*Diluted Shares Outstanding*",'7.TIKR_IS'!$A:$K,COLUMN(F11),FALSE),"0")</f>
        <v>0</v>
      </c>
      <c r="G11" s="13" t="str">
        <f>IFERROR(VLOOKUP("*Diluted Shares Outstanding*",'7.TIKR_IS'!$A:$K,COLUMN(G11),FALSE),"0")</f>
        <v>0</v>
      </c>
      <c r="H11" s="13" t="str">
        <f>IFERROR(VLOOKUP("*Diluted Shares Outstanding*",'7.TIKR_IS'!$A:$K,COLUMN(H11),FALSE),"0")</f>
        <v>0</v>
      </c>
      <c r="I11" s="13" t="str">
        <f>IFERROR(VLOOKUP("*Diluted Shares Outstanding*",'7.TIKR_IS'!$A:$K,COLUMN(I11),FALSE),"0")</f>
        <v>0</v>
      </c>
      <c r="J11" s="13" t="str">
        <f>IFERROR(VLOOKUP("*Diluted Shares Outstanding*",'7.TIKR_IS'!$A:$K,COLUMN(J11),FALSE),"0")</f>
        <v>0</v>
      </c>
      <c r="K11" s="13" t="str">
        <f>IFERROR(VLOOKUP("*Diluted Shares Outstanding*",'7.TIKR_IS'!$A:$K,COLUMN(K11),FALSE),"0")</f>
        <v>0</v>
      </c>
      <c r="L11" s="125" t="str">
        <f>IFERROR(K11*(1+$T$6),"")</f>
        <v/>
      </c>
      <c r="M11" s="11" t="str">
        <f>IFERROR(L11*(1+$T$6),"")</f>
        <v/>
      </c>
      <c r="N11" s="11" t="str">
        <f>IFERROR(M11*(1+$T$6),"")</f>
        <v/>
      </c>
      <c r="O11" s="11" t="str">
        <f>IFERROR(N11*(1+$T$6),"")</f>
        <v/>
      </c>
      <c r="P11" s="97" t="str">
        <f>IFERROR(O11*(1+$T$6),"")</f>
        <v/>
      </c>
      <c r="Q11" s="6"/>
      <c r="R11" s="6"/>
      <c r="S11" s="7"/>
      <c r="T11" s="7"/>
      <c r="U11" s="21"/>
      <c r="V11" s="21"/>
      <c r="W11" s="21"/>
    </row>
    <row r="12" spans="1:23" ht="24.95" customHeight="1" x14ac:dyDescent="0.25">
      <c r="A12" s="59" t="s">
        <v>6</v>
      </c>
      <c r="B12" s="85"/>
      <c r="C12" s="10" t="str">
        <f t="shared" ref="C12:P12" si="12">IFERROR((C11-B11)/B11,"")</f>
        <v/>
      </c>
      <c r="D12" s="10" t="str">
        <f t="shared" si="12"/>
        <v/>
      </c>
      <c r="E12" s="10" t="str">
        <f t="shared" si="12"/>
        <v/>
      </c>
      <c r="F12" s="10" t="str">
        <f t="shared" si="12"/>
        <v/>
      </c>
      <c r="G12" s="10" t="str">
        <f t="shared" si="12"/>
        <v/>
      </c>
      <c r="H12" s="10" t="str">
        <f t="shared" si="12"/>
        <v/>
      </c>
      <c r="I12" s="10" t="str">
        <f t="shared" si="12"/>
        <v/>
      </c>
      <c r="J12" s="10" t="str">
        <f t="shared" si="12"/>
        <v/>
      </c>
      <c r="K12" s="10" t="str">
        <f t="shared" si="12"/>
        <v/>
      </c>
      <c r="L12" s="85" t="str">
        <f t="shared" si="12"/>
        <v/>
      </c>
      <c r="M12" s="10" t="str">
        <f t="shared" si="12"/>
        <v/>
      </c>
      <c r="N12" s="10" t="str">
        <f t="shared" si="12"/>
        <v/>
      </c>
      <c r="O12" s="10" t="str">
        <f t="shared" si="12"/>
        <v/>
      </c>
      <c r="P12" s="93" t="str">
        <f t="shared" si="12"/>
        <v/>
      </c>
      <c r="Q12" s="6"/>
      <c r="R12" s="6"/>
      <c r="S12" s="7"/>
      <c r="T12" s="7"/>
      <c r="U12" s="21"/>
      <c r="V12" s="21"/>
      <c r="W12" s="21"/>
    </row>
    <row r="13" spans="1:23" ht="24.95" customHeight="1" x14ac:dyDescent="0.25">
      <c r="A13" s="156" t="s">
        <v>115</v>
      </c>
      <c r="B13" s="162" t="str">
        <f t="shared" ref="B13:J13" si="13">IFERROR(B9/B11,"")</f>
        <v/>
      </c>
      <c r="C13" s="163" t="str">
        <f t="shared" si="13"/>
        <v/>
      </c>
      <c r="D13" s="163" t="str">
        <f t="shared" si="13"/>
        <v/>
      </c>
      <c r="E13" s="163" t="str">
        <f t="shared" si="13"/>
        <v/>
      </c>
      <c r="F13" s="163" t="str">
        <f t="shared" si="13"/>
        <v/>
      </c>
      <c r="G13" s="163" t="str">
        <f t="shared" si="13"/>
        <v/>
      </c>
      <c r="H13" s="163" t="str">
        <f t="shared" si="13"/>
        <v/>
      </c>
      <c r="I13" s="163" t="str">
        <f t="shared" si="13"/>
        <v/>
      </c>
      <c r="J13" s="163" t="str">
        <f t="shared" si="13"/>
        <v/>
      </c>
      <c r="K13" s="163" t="str">
        <f>IFERROR(K9/K11,"")</f>
        <v/>
      </c>
      <c r="L13" s="162" t="str">
        <f t="shared" ref="L13:P13" si="14">IFERROR(L9/L11,"")</f>
        <v/>
      </c>
      <c r="M13" s="163" t="str">
        <f t="shared" si="14"/>
        <v/>
      </c>
      <c r="N13" s="163" t="str">
        <f t="shared" si="14"/>
        <v/>
      </c>
      <c r="O13" s="163" t="str">
        <f t="shared" si="14"/>
        <v/>
      </c>
      <c r="P13" s="164" t="str">
        <f t="shared" si="14"/>
        <v/>
      </c>
      <c r="Q13" s="6"/>
      <c r="R13" s="6"/>
      <c r="S13" s="7"/>
      <c r="T13" s="7"/>
      <c r="U13" s="21"/>
      <c r="V13" s="21"/>
      <c r="W13" s="21"/>
    </row>
    <row r="14" spans="1:23" ht="15.95" customHeight="1" x14ac:dyDescent="0.3">
      <c r="U14" s="21"/>
      <c r="V14" s="21"/>
      <c r="W14" s="21"/>
    </row>
    <row r="15" spans="1:23" ht="9.75" customHeight="1" x14ac:dyDescent="0.3">
      <c r="U15" s="21"/>
      <c r="V15" s="21"/>
      <c r="W15" s="21"/>
    </row>
    <row r="16" spans="1:23" s="18" customFormat="1" ht="44.1" customHeight="1" x14ac:dyDescent="0.25">
      <c r="A16" s="165" t="s">
        <v>119</v>
      </c>
      <c r="B16" s="166" t="str">
        <f>IFERROR(IF(VLOOKUP("Income Statement*",'7.TIKR_IS'!$A:$K,COLUMN(B17),FALSE)="","",IFERROR(YEAR(VLOOKUP("Income Statement*",'7.TIKR_IS'!$A:$K,COLUMN(B17),FALSE)),"2013")),"")</f>
        <v/>
      </c>
      <c r="C16" s="166" t="str">
        <f>IFERROR(IF(VLOOKUP("Income Statement*",'7.TIKR_IS'!$A:$K,COLUMN(C17),FALSE)="","",IFERROR(YEAR(VLOOKUP("Income Statement*",'7.TIKR_IS'!$A:$K,COLUMN(C17),FALSE)),"2013")),"")</f>
        <v/>
      </c>
      <c r="D16" s="166" t="str">
        <f>IFERROR(IF(VLOOKUP("Income Statement*",'7.TIKR_IS'!$A:$K,COLUMN(D17),FALSE)="","",IFERROR(YEAR(VLOOKUP("Income Statement*",'7.TIKR_IS'!$A:$K,COLUMN(D17),FALSE)),"2013")),"")</f>
        <v/>
      </c>
      <c r="E16" s="166" t="str">
        <f>IFERROR(IF(VLOOKUP("Income Statement*",'7.TIKR_IS'!$A:$K,COLUMN(E17),FALSE)="","",IFERROR(YEAR(VLOOKUP("Income Statement*",'7.TIKR_IS'!$A:$K,COLUMN(E17),FALSE)),"2013")),"")</f>
        <v/>
      </c>
      <c r="F16" s="166" t="str">
        <f>IFERROR(IF(VLOOKUP("Income Statement*",'7.TIKR_IS'!$A:$K,COLUMN(F17),FALSE)="","",IFERROR(YEAR(VLOOKUP("Income Statement*",'7.TIKR_IS'!$A:$K,COLUMN(F17),FALSE)),"2013")),"")</f>
        <v/>
      </c>
      <c r="G16" s="166" t="str">
        <f>IFERROR(IF(VLOOKUP("Income Statement*",'7.TIKR_IS'!$A:$K,COLUMN(G17),FALSE)="","",IFERROR(YEAR(VLOOKUP("Income Statement*",'7.TIKR_IS'!$A:$K,COLUMN(G17),FALSE)),"2013")),"")</f>
        <v/>
      </c>
      <c r="H16" s="166" t="str">
        <f>IFERROR(IF(VLOOKUP("Income Statement*",'7.TIKR_IS'!$A:$K,COLUMN(H17),FALSE)="","",IFERROR(YEAR(VLOOKUP("Income Statement*",'7.TIKR_IS'!$A:$K,COLUMN(H17),FALSE)),"2013")),"")</f>
        <v/>
      </c>
      <c r="I16" s="166" t="str">
        <f>IFERROR(IF(VLOOKUP("Income Statement*",'7.TIKR_IS'!$A:$K,COLUMN(I17),FALSE)="","",IFERROR(YEAR(VLOOKUP("Income Statement*",'7.TIKR_IS'!$A:$K,COLUMN(I17),FALSE)),"2013")),"")</f>
        <v/>
      </c>
      <c r="J16" s="166" t="str">
        <f>IFERROR(IF(VLOOKUP("Income Statement*",'7.TIKR_IS'!$A:$K,COLUMN(J17),FALSE)="","",IFERROR(YEAR(VLOOKUP("Income Statement*",'7.TIKR_IS'!$A:$K,COLUMN(J17),FALSE)),"2013")),"")</f>
        <v/>
      </c>
      <c r="K16" s="166" t="str">
        <f>IFERROR(IF(VLOOKUP("Income Statement*",'7.TIKR_IS'!$A:$K,COLUMN(K17),FALSE)="","",IFERROR(YEAR(VLOOKUP("Income Statement*",'7.TIKR_IS'!$A:$K,COLUMN(K17),FALSE)),"2013")),"")</f>
        <v/>
      </c>
      <c r="L16" s="167" t="str">
        <f>IF(K16&lt;&gt;"",(K16+1)&amp;"e","")</f>
        <v/>
      </c>
      <c r="M16" s="167" t="str">
        <f>IF(L16&lt;&gt;"",(LEFT(L16,4)+1)&amp;"e","")</f>
        <v/>
      </c>
      <c r="N16" s="167" t="str">
        <f t="shared" ref="N16" si="15">IF(M16&lt;&gt;"",(LEFT(M16,4)+1)&amp;"e","")</f>
        <v/>
      </c>
      <c r="O16" s="167" t="str">
        <f t="shared" ref="O16" si="16">IF(N16&lt;&gt;"",(LEFT(N16,4)+1)&amp;"e","")</f>
        <v/>
      </c>
      <c r="P16" s="168" t="str">
        <f t="shared" ref="P16" si="17">IF(O16&lt;&gt;"",(LEFT(O16,4)+1)&amp;"e","")</f>
        <v/>
      </c>
      <c r="R16" s="176" t="str">
        <f>"Promedio "&amp;B2&amp;" - "&amp;K2</f>
        <v xml:space="preserve">Promedio  - </v>
      </c>
      <c r="U16" s="46"/>
      <c r="V16" s="46"/>
      <c r="W16" s="46"/>
    </row>
    <row r="17" spans="1:23" s="18" customFormat="1" ht="24.95" customHeight="1" x14ac:dyDescent="0.25">
      <c r="A17" s="170" t="s">
        <v>35</v>
      </c>
      <c r="B17" s="171" t="str">
        <f>IFERROR(B9/VLOOKUP("Total Assets",'8.TIKR_BS'!$A:$K,COLUMN(B2),FALSE),"")</f>
        <v/>
      </c>
      <c r="C17" s="172" t="str">
        <f>IFERROR(C9/VLOOKUP("Total Assets",'8.TIKR_BS'!$A:$K,COLUMN(C2),FALSE),"")</f>
        <v/>
      </c>
      <c r="D17" s="172" t="str">
        <f>IFERROR(D9/VLOOKUP("Total Assets",'8.TIKR_BS'!$A:$K,COLUMN(D2),FALSE),"")</f>
        <v/>
      </c>
      <c r="E17" s="172" t="str">
        <f>IFERROR(E9/VLOOKUP("Total Assets",'8.TIKR_BS'!$A:$K,COLUMN(E2),FALSE),"")</f>
        <v/>
      </c>
      <c r="F17" s="172" t="str">
        <f>IFERROR(F9/VLOOKUP("Total Assets",'8.TIKR_BS'!$A:$K,COLUMN(F2),FALSE),"")</f>
        <v/>
      </c>
      <c r="G17" s="172" t="str">
        <f>IFERROR(G9/VLOOKUP("Total Assets",'8.TIKR_BS'!$A:$K,COLUMN(G2),FALSE),"")</f>
        <v/>
      </c>
      <c r="H17" s="172" t="str">
        <f>IFERROR(H9/VLOOKUP("Total Assets",'8.TIKR_BS'!$A:$K,COLUMN(H2),FALSE),"")</f>
        <v/>
      </c>
      <c r="I17" s="172" t="str">
        <f>IFERROR(I9/VLOOKUP("Total Assets",'8.TIKR_BS'!$A:$K,COLUMN(I2),FALSE),"")</f>
        <v/>
      </c>
      <c r="J17" s="172" t="str">
        <f>IFERROR(J9/VLOOKUP("Total Assets",'8.TIKR_BS'!$A:$K,COLUMN(J2),FALSE),"")</f>
        <v/>
      </c>
      <c r="K17" s="172" t="str">
        <f>IFERROR(K9/VLOOKUP("Total Assets",'8.TIKR_BS'!$A:$K,COLUMN(K2),FALSE),"")</f>
        <v/>
      </c>
      <c r="L17" s="178" t="s">
        <v>129</v>
      </c>
      <c r="M17" s="207" t="s">
        <v>129</v>
      </c>
      <c r="N17" s="207" t="s">
        <v>129</v>
      </c>
      <c r="O17" s="207" t="s">
        <v>129</v>
      </c>
      <c r="P17" s="208" t="s">
        <v>129</v>
      </c>
      <c r="R17" s="177" t="str">
        <f>IFERROR(AVERAGE(B17:K17),"")</f>
        <v/>
      </c>
      <c r="U17" s="46"/>
      <c r="V17" s="46"/>
      <c r="W17" s="46"/>
    </row>
    <row r="18" spans="1:23" s="18" customFormat="1" ht="24.95" customHeight="1" x14ac:dyDescent="0.25">
      <c r="A18" s="173" t="s">
        <v>34</v>
      </c>
      <c r="B18" s="174" t="str">
        <f>IFERROR(B9/TIKR_Cálculos!B26,"")</f>
        <v/>
      </c>
      <c r="C18" s="175" t="str">
        <f>IFERROR(C9/TIKR_Cálculos!C26,"")</f>
        <v/>
      </c>
      <c r="D18" s="175" t="str">
        <f>IFERROR(D9/TIKR_Cálculos!D26,"")</f>
        <v/>
      </c>
      <c r="E18" s="175" t="str">
        <f>IFERROR(E9/TIKR_Cálculos!E26,"")</f>
        <v/>
      </c>
      <c r="F18" s="175" t="str">
        <f>IFERROR(F9/TIKR_Cálculos!F26,"")</f>
        <v/>
      </c>
      <c r="G18" s="175" t="str">
        <f>IFERROR(G9/TIKR_Cálculos!G26,"")</f>
        <v/>
      </c>
      <c r="H18" s="175" t="str">
        <f>IFERROR(H9/TIKR_Cálculos!H26,"")</f>
        <v/>
      </c>
      <c r="I18" s="175" t="str">
        <f>IFERROR(I9/TIKR_Cálculos!I26,"")</f>
        <v/>
      </c>
      <c r="J18" s="175" t="str">
        <f>IFERROR(J9/TIKR_Cálculos!J26,"")</f>
        <v/>
      </c>
      <c r="K18" s="175" t="str">
        <f>IFERROR(K9/TIKR_Cálculos!K26,"")</f>
        <v/>
      </c>
      <c r="L18" s="174" t="str">
        <f>IFERROR(L9/TIKR_Cálculos!L26,"")</f>
        <v/>
      </c>
      <c r="M18" s="98" t="str">
        <f>IFERROR(M9/TIKR_Cálculos!M26,"")</f>
        <v/>
      </c>
      <c r="N18" s="98" t="str">
        <f>IFERROR(N9/TIKR_Cálculos!N26,"")</f>
        <v/>
      </c>
      <c r="O18" s="98" t="str">
        <f>IFERROR(O9/TIKR_Cálculos!O26,"")</f>
        <v/>
      </c>
      <c r="P18" s="128" t="str">
        <f>IFERROR(P9/TIKR_Cálculos!P26,"")</f>
        <v/>
      </c>
      <c r="R18" s="169" t="str">
        <f>IFERROR(AVERAGE(B18:K18),"")</f>
        <v/>
      </c>
      <c r="U18" s="46"/>
      <c r="V18" s="46"/>
      <c r="W18" s="46"/>
    </row>
    <row r="19" spans="1:23" s="18" customFormat="1" ht="20.100000000000001" customHeight="1" x14ac:dyDescent="0.25">
      <c r="U19" s="46"/>
      <c r="V19" s="46"/>
      <c r="W19" s="46"/>
    </row>
    <row r="20" spans="1:23" ht="44.1" customHeight="1" x14ac:dyDescent="0.3">
      <c r="A20" s="165" t="s">
        <v>127</v>
      </c>
      <c r="B20" s="166" t="str">
        <f>IFERROR(IF(VLOOKUP("Income Statement*",'7.TIKR_IS'!$A:$K,COLUMN(B21),FALSE)="","",IFERROR(YEAR(VLOOKUP("Income Statement*",'7.TIKR_IS'!$A:$K,COLUMN(B21),FALSE)),"2013")),"")</f>
        <v/>
      </c>
      <c r="C20" s="166" t="str">
        <f>IFERROR(IF(VLOOKUP("Income Statement*",'7.TIKR_IS'!$A:$K,COLUMN(C21),FALSE)="","",IFERROR(YEAR(VLOOKUP("Income Statement*",'7.TIKR_IS'!$A:$K,COLUMN(C21),FALSE)),"2013")),"")</f>
        <v/>
      </c>
      <c r="D20" s="166" t="str">
        <f>IFERROR(IF(VLOOKUP("Income Statement*",'7.TIKR_IS'!$A:$K,COLUMN(D21),FALSE)="","",IFERROR(YEAR(VLOOKUP("Income Statement*",'7.TIKR_IS'!$A:$K,COLUMN(D21),FALSE)),"2013")),"")</f>
        <v/>
      </c>
      <c r="E20" s="166" t="str">
        <f>IFERROR(IF(VLOOKUP("Income Statement*",'7.TIKR_IS'!$A:$K,COLUMN(E21),FALSE)="","",IFERROR(YEAR(VLOOKUP("Income Statement*",'7.TIKR_IS'!$A:$K,COLUMN(E21),FALSE)),"2013")),"")</f>
        <v/>
      </c>
      <c r="F20" s="166" t="str">
        <f>IFERROR(IF(VLOOKUP("Income Statement*",'7.TIKR_IS'!$A:$K,COLUMN(F21),FALSE)="","",IFERROR(YEAR(VLOOKUP("Income Statement*",'7.TIKR_IS'!$A:$K,COLUMN(F21),FALSE)),"2013")),"")</f>
        <v/>
      </c>
      <c r="G20" s="166" t="str">
        <f>IFERROR(IF(VLOOKUP("Income Statement*",'7.TIKR_IS'!$A:$K,COLUMN(G21),FALSE)="","",IFERROR(YEAR(VLOOKUP("Income Statement*",'7.TIKR_IS'!$A:$K,COLUMN(G21),FALSE)),"2013")),"")</f>
        <v/>
      </c>
      <c r="H20" s="166" t="str">
        <f>IFERROR(IF(VLOOKUP("Income Statement*",'7.TIKR_IS'!$A:$K,COLUMN(H21),FALSE)="","",IFERROR(YEAR(VLOOKUP("Income Statement*",'7.TIKR_IS'!$A:$K,COLUMN(H21),FALSE)),"2013")),"")</f>
        <v/>
      </c>
      <c r="I20" s="166" t="str">
        <f>IFERROR(IF(VLOOKUP("Income Statement*",'7.TIKR_IS'!$A:$K,COLUMN(I21),FALSE)="","",IFERROR(YEAR(VLOOKUP("Income Statement*",'7.TIKR_IS'!$A:$K,COLUMN(I21),FALSE)),"2013")),"")</f>
        <v/>
      </c>
      <c r="J20" s="166" t="str">
        <f>IFERROR(IF(VLOOKUP("Income Statement*",'7.TIKR_IS'!$A:$K,COLUMN(J21),FALSE)="","",IFERROR(YEAR(VLOOKUP("Income Statement*",'7.TIKR_IS'!$A:$K,COLUMN(J21),FALSE)),"2013")),"")</f>
        <v/>
      </c>
      <c r="K20" s="166" t="str">
        <f>IFERROR(IF(VLOOKUP("Income Statement*",'7.TIKR_IS'!$A:$K,COLUMN(K21),FALSE)="","",IFERROR(YEAR(VLOOKUP("Income Statement*",'7.TIKR_IS'!$A:$K,COLUMN(K21),FALSE)),"2013")),"")</f>
        <v/>
      </c>
      <c r="U20" s="21"/>
      <c r="V20" s="21"/>
      <c r="W20" s="21"/>
    </row>
    <row r="21" spans="1:23" ht="24.95" customHeight="1" x14ac:dyDescent="0.3">
      <c r="A21" s="173" t="s">
        <v>128</v>
      </c>
      <c r="B21" s="204" t="str">
        <f>IFERROR(TIKR_Cálculos!B29,"")</f>
        <v/>
      </c>
      <c r="C21" s="205" t="str">
        <f>IFERROR(TIKR_Cálculos!C29,"")</f>
        <v/>
      </c>
      <c r="D21" s="205" t="str">
        <f>IFERROR(TIKR_Cálculos!D29,"")</f>
        <v/>
      </c>
      <c r="E21" s="205" t="str">
        <f>IFERROR(TIKR_Cálculos!E29,"")</f>
        <v/>
      </c>
      <c r="F21" s="205" t="str">
        <f>IFERROR(TIKR_Cálculos!F29,"")</f>
        <v/>
      </c>
      <c r="G21" s="205" t="str">
        <f>IFERROR(TIKR_Cálculos!G29,"")</f>
        <v/>
      </c>
      <c r="H21" s="205" t="str">
        <f>IFERROR(TIKR_Cálculos!H29,"")</f>
        <v/>
      </c>
      <c r="I21" s="205" t="str">
        <f>IFERROR(TIKR_Cálculos!I29,"")</f>
        <v/>
      </c>
      <c r="J21" s="205" t="str">
        <f>IFERROR(TIKR_Cálculos!J29,"")</f>
        <v/>
      </c>
      <c r="K21" s="206" t="str">
        <f>IFERROR(TIKR_Cálculos!K29,"")</f>
        <v/>
      </c>
      <c r="U21" s="21"/>
      <c r="V21" s="21"/>
      <c r="W21" s="21"/>
    </row>
    <row r="22" spans="1:23" ht="15.95" customHeight="1" x14ac:dyDescent="0.3">
      <c r="A22" s="6"/>
      <c r="B22" s="6"/>
      <c r="C22" s="6"/>
      <c r="U22" s="21"/>
      <c r="V22" s="21"/>
      <c r="W22" s="21"/>
    </row>
    <row r="23" spans="1:23" ht="15.95" customHeight="1" x14ac:dyDescent="0.3">
      <c r="A23" s="6"/>
      <c r="B23" s="6"/>
      <c r="C23" s="6"/>
      <c r="U23" s="21"/>
      <c r="V23" s="21"/>
      <c r="W23" s="21"/>
    </row>
    <row r="24" spans="1:23" ht="15.95" customHeight="1" x14ac:dyDescent="0.3">
      <c r="A24" s="6"/>
      <c r="B24" s="6"/>
      <c r="C24" s="6"/>
      <c r="U24" s="21"/>
      <c r="V24" s="21"/>
      <c r="W24" s="21"/>
    </row>
    <row r="25" spans="1:23" x14ac:dyDescent="0.3"/>
    <row r="26" spans="1:23" x14ac:dyDescent="0.3"/>
    <row r="27" spans="1:23" x14ac:dyDescent="0.3"/>
    <row r="28" spans="1:23" x14ac:dyDescent="0.3"/>
    <row r="29" spans="1:23" x14ac:dyDescent="0.3"/>
    <row r="30" spans="1:23" x14ac:dyDescent="0.3"/>
    <row r="31" spans="1:23" x14ac:dyDescent="0.3"/>
    <row r="32" spans="1:23" x14ac:dyDescent="0.3"/>
    <row r="35" spans="1:1" x14ac:dyDescent="0.3"/>
    <row r="36" spans="1:1" x14ac:dyDescent="0.3"/>
    <row r="37" spans="1:1" x14ac:dyDescent="0.3"/>
    <row r="38" spans="1:1" x14ac:dyDescent="0.3"/>
    <row r="42" spans="1:1" hidden="1" x14ac:dyDescent="0.3">
      <c r="A42" s="47"/>
    </row>
    <row r="43" spans="1:1" x14ac:dyDescent="0.3"/>
    <row r="44" spans="1:1" x14ac:dyDescent="0.3"/>
    <row r="45" spans="1:1" x14ac:dyDescent="0.3"/>
    <row r="46" spans="1:1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</sheetData>
  <mergeCells count="1">
    <mergeCell ref="T8:T9"/>
  </mergeCells>
  <pageMargins left="0.7" right="0.7" top="0.75" bottom="0.75" header="0.3" footer="0.3"/>
  <pageSetup paperSize="9" orientation="portrait" r:id="rId1"/>
  <ignoredErrors>
    <ignoredError sqref="M11:P11 L11" formula="1"/>
    <ignoredError sqref="I3:K7 I9:K9 I11:K12 I10:K10 I13:K13 I2:K2 I8:K8" calculatedColumn="1"/>
    <ignoredError sqref="C11 D11:H11" formula="1" calculatedColumn="1"/>
  </ignoredErrors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1"/>
  <sheetViews>
    <sheetView showGridLines="0" zoomScale="90" zoomScaleNormal="90" workbookViewId="0">
      <selection activeCell="D7" sqref="D7"/>
    </sheetView>
  </sheetViews>
  <sheetFormatPr baseColWidth="10" defaultColWidth="0" defaultRowHeight="15" zeroHeight="1" x14ac:dyDescent="0.25"/>
  <cols>
    <col min="1" max="1" width="47" style="15" bestFit="1" customWidth="1"/>
    <col min="2" max="16" width="12.7109375" style="3" customWidth="1"/>
    <col min="17" max="17" width="60.85546875" customWidth="1"/>
    <col min="18" max="25" width="0" hidden="1" customWidth="1"/>
    <col min="26" max="16384" width="9.140625" hidden="1"/>
  </cols>
  <sheetData>
    <row r="1" spans="1:17" ht="60" customHeight="1" x14ac:dyDescent="0.25">
      <c r="B1" s="14" t="s">
        <v>60</v>
      </c>
    </row>
    <row r="2" spans="1:17" s="6" customFormat="1" ht="39.950000000000003" customHeight="1" x14ac:dyDescent="0.25">
      <c r="A2" s="83" t="s">
        <v>79</v>
      </c>
      <c r="B2" s="48" t="str">
        <f>'1.IS'!K$2</f>
        <v/>
      </c>
      <c r="C2" s="8" t="str">
        <f>'1.IS'!L$2</f>
        <v/>
      </c>
      <c r="D2" s="8" t="str">
        <f>'1.IS'!M$2</f>
        <v/>
      </c>
      <c r="E2" s="8" t="str">
        <f>'1.IS'!N$2</f>
        <v/>
      </c>
      <c r="F2" s="8" t="str">
        <f>'1.IS'!O$2</f>
        <v/>
      </c>
      <c r="G2" s="8" t="str">
        <f>'1.IS'!P$2</f>
        <v/>
      </c>
    </row>
    <row r="3" spans="1:17" s="6" customFormat="1" ht="24.95" customHeight="1" x14ac:dyDescent="0.25">
      <c r="A3" s="180" t="s">
        <v>5</v>
      </c>
      <c r="B3" s="184">
        <f>$D$7*'1.IS'!K11</f>
        <v>0</v>
      </c>
      <c r="C3" s="181" t="str">
        <f>IFERROR($D$7*'1.IS'!L11,"")</f>
        <v/>
      </c>
      <c r="D3" s="182" t="str">
        <f>IFERROR($D$7*'1.IS'!M11,"")</f>
        <v/>
      </c>
      <c r="E3" s="182" t="str">
        <f>IFERROR($D$7*'1.IS'!N11,"")</f>
        <v/>
      </c>
      <c r="F3" s="182" t="str">
        <f>IFERROR($D$7*'1.IS'!O11,"")</f>
        <v/>
      </c>
      <c r="G3" s="183" t="str">
        <f>IFERROR($D$7*'1.IS'!P11,"")</f>
        <v/>
      </c>
    </row>
    <row r="4" spans="1:17" s="6" customFormat="1" ht="24.95" customHeight="1" x14ac:dyDescent="0.25">
      <c r="A4" s="186" t="s">
        <v>126</v>
      </c>
      <c r="B4" s="191" t="str">
        <f>IF($D$7&lt;&gt;"",TIKR_Cálculos!K26/'1.IS'!K11,"")</f>
        <v/>
      </c>
      <c r="C4" s="185" t="str">
        <f>IF($D$7&lt;&gt;"",TIKR_Cálculos!L26/'1.IS'!L11,"")</f>
        <v/>
      </c>
      <c r="D4" s="192" t="str">
        <f>IF($D$7&lt;&gt;"",TIKR_Cálculos!M26/'1.IS'!M11,"")</f>
        <v/>
      </c>
      <c r="E4" s="192" t="str">
        <f>IF($D$7&lt;&gt;"",TIKR_Cálculos!N26/'1.IS'!N11,"")</f>
        <v/>
      </c>
      <c r="F4" s="192" t="str">
        <f>IF($D$7&lt;&gt;"",TIKR_Cálculos!O26/'1.IS'!O11,"")</f>
        <v/>
      </c>
      <c r="G4" s="193" t="str">
        <f>IF($D$7&lt;&gt;"",TIKR_Cálculos!P26/'1.IS'!P11,"")</f>
        <v/>
      </c>
    </row>
    <row r="5" spans="1:17" s="6" customFormat="1" ht="24.95" customHeight="1" x14ac:dyDescent="0.25">
      <c r="A5" s="179" t="s">
        <v>8</v>
      </c>
      <c r="B5" s="188" t="str">
        <f>'1.IS'!K13</f>
        <v/>
      </c>
      <c r="C5" s="187" t="str">
        <f>'1.IS'!L13</f>
        <v/>
      </c>
      <c r="D5" s="189" t="str">
        <f>'1.IS'!M13</f>
        <v/>
      </c>
      <c r="E5" s="189" t="str">
        <f>'1.IS'!N13</f>
        <v/>
      </c>
      <c r="F5" s="189" t="str">
        <f>'1.IS'!O13</f>
        <v/>
      </c>
      <c r="G5" s="190" t="str">
        <f>'1.IS'!P13</f>
        <v/>
      </c>
    </row>
    <row r="6" spans="1:17" s="6" customFormat="1" ht="20.100000000000001" customHeight="1" thickBot="1" x14ac:dyDescent="0.3">
      <c r="A6" s="59"/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17"/>
    </row>
    <row r="7" spans="1:17" s="6" customFormat="1" ht="24.95" customHeight="1" thickTop="1" thickBot="1" x14ac:dyDescent="0.3">
      <c r="A7" s="213" t="s">
        <v>9</v>
      </c>
      <c r="B7" s="214"/>
      <c r="C7" s="215"/>
      <c r="D7" s="11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17"/>
    </row>
    <row r="8" spans="1:17" s="6" customFormat="1" ht="20.100000000000001" customHeight="1" thickTop="1" thickBot="1" x14ac:dyDescent="0.3">
      <c r="A8" s="218"/>
      <c r="B8" s="218"/>
      <c r="C8" s="218"/>
      <c r="D8" s="21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17"/>
    </row>
    <row r="9" spans="1:17" s="6" customFormat="1" ht="24.95" customHeight="1" thickBot="1" x14ac:dyDescent="0.3">
      <c r="A9" s="220" t="s">
        <v>132</v>
      </c>
      <c r="B9" s="221"/>
      <c r="C9" s="222"/>
      <c r="D9" s="223" t="str">
        <f>IF($D$7&lt;&gt;"",IF(K17&lt;15%,F17/2,D7),"")</f>
        <v/>
      </c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17"/>
    </row>
    <row r="10" spans="1:17" s="6" customFormat="1" ht="20.100000000000001" customHeight="1" thickBot="1" x14ac:dyDescent="0.3">
      <c r="A10" s="5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7" s="6" customFormat="1" ht="39.950000000000003" customHeight="1" thickTop="1" x14ac:dyDescent="0.25">
      <c r="A11" s="101" t="s">
        <v>70</v>
      </c>
      <c r="B11" s="100" t="s">
        <v>52</v>
      </c>
      <c r="C11" s="100" t="s">
        <v>55</v>
      </c>
      <c r="D11" s="123" t="s">
        <v>53</v>
      </c>
      <c r="E11" s="60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7" s="6" customFormat="1" ht="24.95" customHeight="1" x14ac:dyDescent="0.25">
      <c r="A12" s="199" t="s">
        <v>131</v>
      </c>
      <c r="B12" s="102" t="str">
        <f>IF($D$7&lt;&gt;"",D7/B4,"")</f>
        <v/>
      </c>
      <c r="C12" s="102" t="str">
        <f>IF($D$7&lt;&gt;"",D7/C4,"")</f>
        <v/>
      </c>
      <c r="D12" s="227" t="str">
        <f>C12</f>
        <v/>
      </c>
      <c r="E12" s="61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7" s="6" customFormat="1" ht="24.95" customHeight="1" thickBot="1" x14ac:dyDescent="0.3">
      <c r="A13" s="179" t="s">
        <v>10</v>
      </c>
      <c r="B13" s="197" t="str">
        <f>IF($D$7&lt;&gt;"",$D$7/'1.IS'!K13,"")</f>
        <v/>
      </c>
      <c r="C13" s="198" t="str">
        <f>IF($D$7&lt;&gt;"",$D$7/'1.IS'!L13,"")</f>
        <v/>
      </c>
      <c r="D13" s="196" t="str">
        <f>C13</f>
        <v/>
      </c>
      <c r="E13" s="62"/>
      <c r="F13" s="130" t="s">
        <v>94</v>
      </c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7" s="6" customFormat="1" ht="20.100000000000001" customHeight="1" thickTop="1" thickBot="1" x14ac:dyDescent="0.3">
      <c r="A14" s="63"/>
      <c r="B14" s="20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7" s="6" customFormat="1" ht="39.950000000000003" customHeight="1" thickTop="1" x14ac:dyDescent="0.25">
      <c r="A15" s="101" t="s">
        <v>54</v>
      </c>
      <c r="B15" s="100" t="str">
        <f>C2</f>
        <v/>
      </c>
      <c r="C15" s="100" t="str">
        <f>D2</f>
        <v/>
      </c>
      <c r="D15" s="100" t="str">
        <f>E2</f>
        <v/>
      </c>
      <c r="E15" s="100" t="str">
        <f>F2</f>
        <v/>
      </c>
      <c r="F15" s="131" t="str">
        <f>G2</f>
        <v/>
      </c>
      <c r="H15" s="216" t="str">
        <f>"Retorno Anualizado"&amp;CHAR(10)&amp;"valorando por..."</f>
        <v>Retorno Anualizado
valorando por...</v>
      </c>
      <c r="I15" s="216"/>
      <c r="J15" s="216"/>
      <c r="K15" s="100" t="str">
        <f>"CAGR"&amp;CHAR(10)&amp;"5 años"</f>
        <v>CAGR
5 años</v>
      </c>
      <c r="O15" s="7"/>
      <c r="P15" s="7"/>
    </row>
    <row r="16" spans="1:17" s="6" customFormat="1" ht="24.95" customHeight="1" x14ac:dyDescent="0.25">
      <c r="A16" s="59" t="s">
        <v>131</v>
      </c>
      <c r="B16" s="12" t="str">
        <f>IF($D$7&lt;&gt;"",IFERROR($D$12*C4,""),"")</f>
        <v/>
      </c>
      <c r="C16" s="12" t="str">
        <f>IF($D$7&lt;&gt;"",IFERROR($D$12*D4,""),"")</f>
        <v/>
      </c>
      <c r="D16" s="12" t="str">
        <f>IF($D$7&lt;&gt;"",IFERROR($D$12*E4,""),"")</f>
        <v/>
      </c>
      <c r="E16" s="12" t="str">
        <f>IF($D$7&lt;&gt;"",IFERROR($D$12*F4,""),"")</f>
        <v/>
      </c>
      <c r="F16" s="194" t="str">
        <f>IF($D$7&lt;&gt;"",IFERROR($D$12*G4,""),"")</f>
        <v/>
      </c>
      <c r="H16" s="200" t="s">
        <v>123</v>
      </c>
      <c r="I16" s="201"/>
      <c r="J16" s="201"/>
      <c r="K16" s="195" t="str">
        <f>IFERROR((F16/$D$7)^(1/5)-1,"")</f>
        <v/>
      </c>
      <c r="O16" s="7"/>
      <c r="P16" s="7"/>
    </row>
    <row r="17" spans="1:16" s="6" customFormat="1" ht="24.95" customHeight="1" x14ac:dyDescent="0.25">
      <c r="A17" s="59" t="s">
        <v>10</v>
      </c>
      <c r="B17" s="12" t="str">
        <f>IF($D$7&lt;&gt;"",IFERROR($D$13*C5,""),"")</f>
        <v/>
      </c>
      <c r="C17" s="12" t="str">
        <f>IF($D$7&lt;&gt;"",IFERROR($D$13*D5,""),"")</f>
        <v/>
      </c>
      <c r="D17" s="12" t="str">
        <f>IF($D$7&lt;&gt;"",IFERROR($D$13*E5,""),"")</f>
        <v/>
      </c>
      <c r="E17" s="12" t="str">
        <f>IF($D$7&lt;&gt;"",IFERROR($D$13*F5,""),"")</f>
        <v/>
      </c>
      <c r="F17" s="194" t="str">
        <f>IF($D$7&lt;&gt;"",IFERROR($D$13*G5,""),"")</f>
        <v/>
      </c>
      <c r="H17" s="199" t="s">
        <v>10</v>
      </c>
      <c r="I17" s="59"/>
      <c r="J17" s="59"/>
      <c r="K17" s="224" t="str">
        <f>IFERROR((F17/$D$7)^(1/5)-1,"")</f>
        <v/>
      </c>
      <c r="O17" s="7"/>
      <c r="P17" s="7"/>
    </row>
    <row r="18" spans="1:16" s="6" customFormat="1" ht="24.95" customHeight="1" x14ac:dyDescent="0.25">
      <c r="A18" s="108" t="s">
        <v>47</v>
      </c>
      <c r="B18" s="109" t="str">
        <f>IFERROR(AVERAGE(B16:B17),"")</f>
        <v/>
      </c>
      <c r="C18" s="109" t="str">
        <f>IFERROR(AVERAGE(C16:C17),"")</f>
        <v/>
      </c>
      <c r="D18" s="109" t="str">
        <f>IFERROR(AVERAGE(D16:D17),"")</f>
        <v/>
      </c>
      <c r="E18" s="109" t="str">
        <f>IFERROR(AVERAGE(E16:E17),"")</f>
        <v/>
      </c>
      <c r="F18" s="225" t="str">
        <f>IFERROR(AVERAGE(F16:F17),"")</f>
        <v/>
      </c>
      <c r="H18" s="202" t="s">
        <v>47</v>
      </c>
      <c r="I18" s="104"/>
      <c r="J18" s="104"/>
      <c r="K18" s="105" t="str">
        <f>IFERROR(AVERAGE(K16:K17),"")</f>
        <v/>
      </c>
      <c r="O18" s="7"/>
      <c r="P18" s="7"/>
    </row>
    <row r="19" spans="1:16" s="6" customFormat="1" ht="24.95" customHeight="1" thickBot="1" x14ac:dyDescent="0.3">
      <c r="A19" s="104" t="s">
        <v>86</v>
      </c>
      <c r="B19" s="110" t="str">
        <f>IFERROR((B18/$D$7)-1,"")</f>
        <v/>
      </c>
      <c r="C19" s="110" t="str">
        <f t="shared" ref="C19:F19" si="0">IFERROR((C18/$D$7)-1,"")</f>
        <v/>
      </c>
      <c r="D19" s="110" t="str">
        <f t="shared" si="0"/>
        <v/>
      </c>
      <c r="E19" s="110" t="str">
        <f t="shared" si="0"/>
        <v/>
      </c>
      <c r="F19" s="226" t="str">
        <f t="shared" si="0"/>
        <v/>
      </c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s="6" customFormat="1" ht="17.25" hidden="1" x14ac:dyDescent="0.25">
      <c r="H20" s="7"/>
      <c r="I20" s="7"/>
      <c r="J20" s="7"/>
      <c r="K20" s="7"/>
      <c r="L20" s="7"/>
      <c r="M20" s="7"/>
      <c r="N20" s="7"/>
      <c r="O20" s="7"/>
      <c r="P20" s="7"/>
    </row>
    <row r="21" spans="1:16" s="6" customFormat="1" ht="24.95" hidden="1" customHeight="1" x14ac:dyDescent="0.25">
      <c r="H21" s="7"/>
      <c r="I21" s="7"/>
      <c r="J21" s="7"/>
      <c r="K21" s="7"/>
      <c r="L21" s="7"/>
      <c r="M21" s="7"/>
      <c r="N21" s="7"/>
      <c r="O21" s="7"/>
      <c r="P21" s="7"/>
    </row>
    <row r="22" spans="1:16" s="6" customFormat="1" ht="24.95" hidden="1" customHeight="1" x14ac:dyDescent="0.25">
      <c r="H22" s="7"/>
      <c r="I22" s="7"/>
      <c r="J22" s="7"/>
      <c r="K22" s="7"/>
      <c r="L22" s="7"/>
      <c r="M22" s="7"/>
      <c r="N22" s="7"/>
      <c r="O22" s="7"/>
      <c r="P22" s="7"/>
    </row>
    <row r="23" spans="1:16" s="6" customFormat="1" ht="24.95" hidden="1" customHeight="1" x14ac:dyDescent="0.25">
      <c r="H23" s="7"/>
      <c r="I23" s="7"/>
      <c r="J23" s="7"/>
      <c r="K23" s="7"/>
      <c r="L23" s="7"/>
      <c r="M23" s="7"/>
      <c r="N23" s="7"/>
      <c r="O23" s="7"/>
      <c r="P23" s="7"/>
    </row>
    <row r="24" spans="1:16" s="6" customFormat="1" ht="24.95" hidden="1" customHeight="1" x14ac:dyDescent="0.25">
      <c r="H24" s="7"/>
      <c r="I24" s="7"/>
      <c r="J24" s="7"/>
      <c r="K24" s="7"/>
      <c r="L24" s="7"/>
      <c r="M24" s="7"/>
      <c r="N24" s="7"/>
      <c r="O24" s="7"/>
      <c r="P24" s="7"/>
    </row>
    <row r="25" spans="1:16" s="6" customFormat="1" ht="17.25" hidden="1" x14ac:dyDescent="0.25">
      <c r="H25" s="7"/>
      <c r="I25" s="7"/>
      <c r="J25" s="7"/>
      <c r="K25" s="7"/>
      <c r="L25" s="7"/>
      <c r="M25" s="7"/>
      <c r="N25" s="7"/>
      <c r="O25" s="7"/>
      <c r="P25" s="7"/>
    </row>
    <row r="26" spans="1:16" s="6" customFormat="1" ht="17.25" hidden="1" x14ac:dyDescent="0.25">
      <c r="A26" s="18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s="6" customFormat="1" ht="17.25" hidden="1" x14ac:dyDescent="0.25">
      <c r="A27" s="18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 s="6" customFormat="1" ht="17.25" hidden="1" x14ac:dyDescent="0.25">
      <c r="A28" s="18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 s="6" customFormat="1" ht="17.25" hidden="1" x14ac:dyDescent="0.25"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 s="6" customFormat="1" ht="17.25" hidden="1" x14ac:dyDescent="0.25"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 s="6" customFormat="1" ht="17.25" hidden="1" x14ac:dyDescent="0.25"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 s="6" customFormat="1" ht="17.25" hidden="1" x14ac:dyDescent="0.25"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 s="6" customFormat="1" ht="17.25" hidden="1" x14ac:dyDescent="0.25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 s="4" customFormat="1" ht="17.25" hidden="1" x14ac:dyDescent="0.3">
      <c r="A34" s="16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t="54.75" customHeight="1" thickTop="1" x14ac:dyDescent="0.25">
      <c r="B35" s="103"/>
      <c r="C35" s="103"/>
      <c r="D35" s="103"/>
      <c r="E35" s="103"/>
      <c r="F35" s="103"/>
      <c r="G35" s="103"/>
    </row>
    <row r="36" spans="1:16" x14ac:dyDescent="0.25"/>
    <row r="37" spans="1:16" x14ac:dyDescent="0.25"/>
    <row r="38" spans="1:16" x14ac:dyDescent="0.25"/>
    <row r="39" spans="1:16" x14ac:dyDescent="0.25"/>
    <row r="40" spans="1:16" x14ac:dyDescent="0.25"/>
    <row r="41" spans="1:16" x14ac:dyDescent="0.25"/>
    <row r="42" spans="1:16" x14ac:dyDescent="0.25"/>
    <row r="43" spans="1:16" x14ac:dyDescent="0.25"/>
    <row r="44" spans="1:16" x14ac:dyDescent="0.25"/>
    <row r="45" spans="1:16" x14ac:dyDescent="0.25"/>
    <row r="46" spans="1:16" x14ac:dyDescent="0.25"/>
    <row r="47" spans="1:16" x14ac:dyDescent="0.25"/>
    <row r="48" spans="1:16" x14ac:dyDescent="0.25"/>
    <row r="49" x14ac:dyDescent="0.25"/>
    <row r="50" x14ac:dyDescent="0.25"/>
    <row r="51" x14ac:dyDescent="0.25"/>
  </sheetData>
  <mergeCells count="3">
    <mergeCell ref="A7:C7"/>
    <mergeCell ref="H15:J15"/>
    <mergeCell ref="A9:C9"/>
  </mergeCells>
  <conditionalFormatting sqref="K16:K18">
    <cfRule type="cellIs" dxfId="5" priority="1" operator="greaterThan">
      <formula>0.15</formula>
    </cfRule>
    <cfRule type="cellIs" dxfId="4" priority="2" operator="between">
      <formula>0</formula>
      <formula>0.15</formula>
    </cfRule>
    <cfRule type="cellIs" dxfId="3" priority="3" operator="between">
      <formula>-1</formula>
      <formula>0</formula>
    </cfRule>
  </conditionalFormatting>
  <pageMargins left="0.7" right="0.7" top="0.75" bottom="0.75" header="0.3" footer="0.3"/>
  <pageSetup paperSize="9" orientation="portrait" horizontalDpi="1200" verticalDpi="12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6D559-2DC7-4A02-B3CD-8F2B3A304BDE}">
  <dimension ref="A1:T33"/>
  <sheetViews>
    <sheetView showGridLines="0" zoomScale="85" zoomScaleNormal="85" workbookViewId="0">
      <selection activeCell="B4" sqref="B4"/>
    </sheetView>
  </sheetViews>
  <sheetFormatPr baseColWidth="10" defaultColWidth="9.140625" defaultRowHeight="17.25" x14ac:dyDescent="0.3"/>
  <cols>
    <col min="1" max="1" width="56.85546875" style="4" customWidth="1"/>
    <col min="2" max="16" width="14.7109375" style="5" customWidth="1"/>
    <col min="17" max="17" width="17" style="5" customWidth="1"/>
    <col min="18" max="18" width="19" style="4" customWidth="1"/>
    <col min="19" max="20" width="15.42578125" style="4" customWidth="1"/>
    <col min="21" max="16384" width="9.140625" style="4"/>
  </cols>
  <sheetData>
    <row r="1" spans="1:20" ht="99.95" customHeight="1" x14ac:dyDescent="0.3">
      <c r="B1" s="14" t="s">
        <v>107</v>
      </c>
      <c r="G1"/>
    </row>
    <row r="2" spans="1:20" ht="39.950000000000003" customHeight="1" x14ac:dyDescent="0.3">
      <c r="A2" s="83" t="s">
        <v>101</v>
      </c>
      <c r="B2" s="48" t="str">
        <f>'1.IS'!B$2</f>
        <v/>
      </c>
      <c r="C2" s="48" t="str">
        <f>'1.IS'!C$2</f>
        <v/>
      </c>
      <c r="D2" s="48" t="str">
        <f>'1.IS'!D$2</f>
        <v/>
      </c>
      <c r="E2" s="48" t="str">
        <f>'1.IS'!E$2</f>
        <v/>
      </c>
      <c r="F2" s="48" t="str">
        <f>'1.IS'!F$2</f>
        <v/>
      </c>
      <c r="G2" s="48" t="str">
        <f>'1.IS'!G$2</f>
        <v/>
      </c>
      <c r="H2" s="48" t="str">
        <f>'1.IS'!H$2</f>
        <v/>
      </c>
      <c r="I2" s="48" t="str">
        <f>'1.IS'!I$2</f>
        <v/>
      </c>
      <c r="J2" s="48" t="str">
        <f>'1.IS'!J$2</f>
        <v/>
      </c>
      <c r="K2" s="48" t="str">
        <f>'1.IS'!K$2</f>
        <v/>
      </c>
      <c r="L2" s="4"/>
      <c r="M2" s="4"/>
      <c r="N2" s="10"/>
      <c r="O2" s="10"/>
      <c r="P2" s="10"/>
      <c r="Q2" s="82"/>
    </row>
    <row r="3" spans="1:20" ht="24.95" customHeight="1" x14ac:dyDescent="0.3">
      <c r="A3" s="154" t="s">
        <v>105</v>
      </c>
      <c r="B3" s="132"/>
      <c r="C3" s="126"/>
      <c r="D3" s="126"/>
      <c r="E3" s="126"/>
      <c r="F3" s="126"/>
      <c r="G3" s="126"/>
      <c r="H3" s="126"/>
      <c r="I3" s="126"/>
      <c r="J3" s="126"/>
      <c r="K3" s="127"/>
      <c r="L3" s="4"/>
      <c r="M3" s="4"/>
      <c r="N3" s="10"/>
      <c r="O3" s="10"/>
      <c r="P3" s="10"/>
      <c r="Q3" s="82"/>
    </row>
    <row r="4" spans="1:20" ht="24.95" customHeight="1" x14ac:dyDescent="0.3">
      <c r="A4" s="145" t="s">
        <v>130</v>
      </c>
      <c r="B4" s="209" t="str">
        <f>IFERROR(VLOOKUP("Stock-based compensation*",'9.TIKR_CF'!$A:$K,COLUMN(B1),FALSE)/'1.IS'!B2,"")</f>
        <v/>
      </c>
      <c r="C4" s="210" t="str">
        <f>IFERROR(VLOOKUP("Stock-based compensation*",'9.TIKR_CF'!$A:$K,COLUMN(C1),FALSE)/'1.IS'!C2,"")</f>
        <v/>
      </c>
      <c r="D4" s="210" t="str">
        <f>IFERROR(VLOOKUP("Stock-based compensation*",'9.TIKR_CF'!$A:$K,COLUMN(D1),FALSE)/'1.IS'!D2,"")</f>
        <v/>
      </c>
      <c r="E4" s="210" t="str">
        <f>IFERROR(VLOOKUP("Stock-based compensation*",'9.TIKR_CF'!$A:$K,COLUMN(E1),FALSE)/'1.IS'!E2,"")</f>
        <v/>
      </c>
      <c r="F4" s="210" t="str">
        <f>IFERROR(VLOOKUP("Stock-based compensation*",'9.TIKR_CF'!$A:$K,COLUMN(F1),FALSE)/'1.IS'!F2,"")</f>
        <v/>
      </c>
      <c r="G4" s="210" t="str">
        <f>IFERROR(VLOOKUP("Stock-based compensation*",'9.TIKR_CF'!$A:$K,COLUMN(G1),FALSE)/'1.IS'!G2,"")</f>
        <v/>
      </c>
      <c r="H4" s="210" t="str">
        <f>IFERROR(VLOOKUP("Stock-based compensation*",'9.TIKR_CF'!$A:$K,COLUMN(H1),FALSE)/'1.IS'!H2,"")</f>
        <v/>
      </c>
      <c r="I4" s="210" t="str">
        <f>IFERROR(VLOOKUP("Stock-based compensation*",'9.TIKR_CF'!$A:$K,COLUMN(I1),FALSE)/'1.IS'!I2,"")</f>
        <v/>
      </c>
      <c r="J4" s="210" t="str">
        <f>IFERROR(VLOOKUP("Stock-based compensation*",'9.TIKR_CF'!$A:$K,COLUMN(J1),FALSE)/'1.IS'!J2,"")</f>
        <v/>
      </c>
      <c r="K4" s="211" t="str">
        <f>IFERROR(VLOOKUP("Stock-based compensation*",'9.TIKR_CF'!$A:$K,COLUMN(K1),FALSE)/'1.IS'!K2,"")</f>
        <v/>
      </c>
      <c r="L4" s="4"/>
      <c r="M4" s="4"/>
      <c r="N4" s="10"/>
      <c r="O4" s="10"/>
      <c r="P4" s="10"/>
      <c r="Q4" s="82"/>
    </row>
    <row r="5" spans="1:20" ht="24.95" customHeight="1" x14ac:dyDescent="0.3">
      <c r="A5" s="146" t="s">
        <v>98</v>
      </c>
      <c r="B5" s="99" t="str">
        <f>IFERROR(VLOOKUP("Issuance of Common Stock*",'9.TIKR_CF'!$A:$K,COLUMN(B2),FALSE)/'1.IS'!B3,"")</f>
        <v/>
      </c>
      <c r="C5" s="98" t="str">
        <f>IFERROR(VLOOKUP("Issuance of Common Stock*",'9.TIKR_CF'!$A:$K,COLUMN(C2),FALSE)/'1.IS'!C3,"")</f>
        <v/>
      </c>
      <c r="D5" s="98" t="str">
        <f>IFERROR(VLOOKUP("Issuance of Common Stock*",'9.TIKR_CF'!$A:$K,COLUMN(D2),FALSE)/'1.IS'!D3,"")</f>
        <v/>
      </c>
      <c r="E5" s="98" t="str">
        <f>IFERROR(VLOOKUP("Issuance of Common Stock*",'9.TIKR_CF'!$A:$K,COLUMN(E2),FALSE)/'1.IS'!E3,"")</f>
        <v/>
      </c>
      <c r="F5" s="98" t="str">
        <f>IFERROR(VLOOKUP("Issuance of Common Stock*",'9.TIKR_CF'!$A:$K,COLUMN(F2),FALSE)/'1.IS'!F3,"")</f>
        <v/>
      </c>
      <c r="G5" s="98" t="str">
        <f>IFERROR(VLOOKUP("Issuance of Common Stock*",'9.TIKR_CF'!$A:$K,COLUMN(G2),FALSE)/'1.IS'!G3,"")</f>
        <v/>
      </c>
      <c r="H5" s="98" t="str">
        <f>IFERROR(VLOOKUP("Issuance of Common Stock*",'9.TIKR_CF'!$A:$K,COLUMN(H2),FALSE)/'1.IS'!H3,"")</f>
        <v/>
      </c>
      <c r="I5" s="98" t="str">
        <f>IFERROR(VLOOKUP("Issuance of Common Stock*",'9.TIKR_CF'!$A:$K,COLUMN(I2),FALSE)/'1.IS'!I3,"")</f>
        <v/>
      </c>
      <c r="J5" s="98" t="str">
        <f>IFERROR(VLOOKUP("Issuance of Common Stock*",'9.TIKR_CF'!$A:$K,COLUMN(J2),FALSE)/'1.IS'!J3,"")</f>
        <v/>
      </c>
      <c r="K5" s="128" t="str">
        <f>IFERROR(VLOOKUP("Issuance of Common Stock*",'9.TIKR_CF'!$A:$K,COLUMN(K2),FALSE)/'1.IS'!K3,"")</f>
        <v/>
      </c>
      <c r="L5" s="4"/>
      <c r="M5" s="4"/>
      <c r="N5" s="6"/>
    </row>
    <row r="6" spans="1:20" ht="24.95" customHeight="1" x14ac:dyDescent="0.3">
      <c r="A6" s="107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</row>
    <row r="7" spans="1:20" ht="39.950000000000003" customHeight="1" x14ac:dyDescent="0.3">
      <c r="A7" s="83" t="s">
        <v>102</v>
      </c>
      <c r="B7" s="48" t="s">
        <v>84</v>
      </c>
      <c r="C7" s="144"/>
      <c r="D7" s="144"/>
      <c r="E7" s="144"/>
      <c r="F7" s="144"/>
      <c r="G7" s="144"/>
      <c r="H7" s="144"/>
      <c r="I7" s="144"/>
      <c r="J7" s="144"/>
      <c r="K7" s="144"/>
      <c r="L7" s="4"/>
      <c r="M7" s="4"/>
      <c r="N7" s="10"/>
      <c r="O7" s="10"/>
      <c r="P7" s="10"/>
      <c r="Q7" s="82"/>
    </row>
    <row r="8" spans="1:20" ht="24.95" customHeight="1" x14ac:dyDescent="0.3">
      <c r="A8" s="154" t="s">
        <v>103</v>
      </c>
      <c r="B8" s="152"/>
      <c r="C8" s="53"/>
      <c r="D8" s="53"/>
      <c r="E8" s="53"/>
      <c r="F8" s="53"/>
      <c r="G8" s="53"/>
      <c r="H8" s="53"/>
      <c r="I8" s="53"/>
      <c r="J8" s="53"/>
      <c r="K8" s="53"/>
      <c r="L8" s="133"/>
      <c r="M8" s="82"/>
      <c r="N8" s="6"/>
    </row>
    <row r="9" spans="1:20" ht="24.95" customHeight="1" x14ac:dyDescent="0.3">
      <c r="A9" s="145" t="s">
        <v>104</v>
      </c>
      <c r="B9" s="147">
        <f>TIKR_Cálculos!L20</f>
        <v>0</v>
      </c>
      <c r="C9" s="53"/>
      <c r="D9" s="53"/>
      <c r="E9" s="53"/>
      <c r="F9" s="53"/>
      <c r="G9" s="53"/>
      <c r="H9" s="53"/>
      <c r="I9" s="53"/>
      <c r="J9" s="53"/>
      <c r="K9" s="53"/>
      <c r="L9" s="133"/>
      <c r="M9" s="82"/>
      <c r="N9" s="6"/>
    </row>
    <row r="10" spans="1:20" ht="24.95" customHeight="1" x14ac:dyDescent="0.3">
      <c r="A10" s="145" t="s">
        <v>122</v>
      </c>
      <c r="B10" s="147">
        <f>TIKR_Cálculos!L21</f>
        <v>0</v>
      </c>
    </row>
    <row r="11" spans="1:20" ht="24.95" customHeight="1" x14ac:dyDescent="0.3">
      <c r="A11" s="145" t="s">
        <v>120</v>
      </c>
      <c r="B11" s="147">
        <f>TIKR_Cálculos!L22</f>
        <v>0</v>
      </c>
    </row>
    <row r="12" spans="1:20" ht="24.95" customHeight="1" x14ac:dyDescent="0.3">
      <c r="A12" s="146" t="s">
        <v>121</v>
      </c>
      <c r="B12" s="153">
        <f>TIKR_Cálculos!L23</f>
        <v>0</v>
      </c>
    </row>
    <row r="13" spans="1:20" ht="24.95" customHeight="1" x14ac:dyDescent="0.3"/>
    <row r="14" spans="1:20" ht="24.95" customHeight="1" x14ac:dyDescent="0.3">
      <c r="B14" s="155"/>
      <c r="C14" s="155"/>
      <c r="D14" s="155"/>
      <c r="E14" s="155"/>
      <c r="F14" s="155"/>
      <c r="G14" s="155"/>
      <c r="H14" s="155"/>
      <c r="I14" s="155"/>
      <c r="J14" s="155"/>
      <c r="K14" s="155"/>
    </row>
    <row r="15" spans="1:20" ht="24.95" customHeight="1" x14ac:dyDescent="0.3"/>
    <row r="16" spans="1:20" s="5" customFormat="1" ht="24.95" customHeight="1" x14ac:dyDescent="0.3">
      <c r="A16" s="4"/>
      <c r="R16" s="4"/>
      <c r="S16" s="4"/>
      <c r="T16" s="4"/>
    </row>
    <row r="17" spans="1:20" s="5" customFormat="1" ht="24.95" customHeight="1" x14ac:dyDescent="0.3">
      <c r="A17" s="4"/>
      <c r="R17" s="4"/>
      <c r="S17" s="4"/>
      <c r="T17" s="4"/>
    </row>
    <row r="18" spans="1:20" s="5" customFormat="1" ht="24.95" customHeight="1" x14ac:dyDescent="0.3">
      <c r="A18" s="4"/>
      <c r="R18" s="4"/>
      <c r="S18" s="4"/>
      <c r="T18" s="4"/>
    </row>
    <row r="19" spans="1:20" s="5" customFormat="1" ht="24.95" customHeight="1" x14ac:dyDescent="0.3">
      <c r="A19" s="4"/>
      <c r="R19" s="4"/>
      <c r="S19" s="4"/>
      <c r="T19" s="4"/>
    </row>
    <row r="20" spans="1:20" s="5" customFormat="1" ht="24.95" customHeight="1" x14ac:dyDescent="0.3">
      <c r="A20" s="4"/>
      <c r="R20" s="4"/>
      <c r="S20" s="4"/>
      <c r="T20" s="4"/>
    </row>
    <row r="21" spans="1:20" s="5" customFormat="1" ht="24.95" customHeight="1" x14ac:dyDescent="0.3">
      <c r="A21" s="4"/>
      <c r="R21" s="4"/>
      <c r="S21" s="4"/>
      <c r="T21" s="4"/>
    </row>
    <row r="22" spans="1:20" s="5" customFormat="1" ht="24.95" customHeight="1" x14ac:dyDescent="0.3">
      <c r="A22" s="4"/>
      <c r="R22" s="4"/>
      <c r="S22" s="4"/>
      <c r="T22" s="4"/>
    </row>
    <row r="23" spans="1:20" s="5" customFormat="1" ht="24.95" customHeight="1" x14ac:dyDescent="0.3">
      <c r="A23" s="4"/>
      <c r="R23" s="4"/>
      <c r="S23" s="4"/>
      <c r="T23" s="4"/>
    </row>
    <row r="24" spans="1:20" s="5" customFormat="1" ht="24.95" customHeight="1" x14ac:dyDescent="0.3">
      <c r="A24" s="4"/>
      <c r="R24" s="4"/>
      <c r="S24" s="4"/>
      <c r="T24" s="4"/>
    </row>
    <row r="25" spans="1:20" s="5" customFormat="1" ht="24.95" customHeight="1" x14ac:dyDescent="0.3">
      <c r="A25" s="4"/>
      <c r="R25" s="4"/>
      <c r="S25" s="4"/>
      <c r="T25" s="4"/>
    </row>
    <row r="28" spans="1:20" s="5" customFormat="1" x14ac:dyDescent="0.3">
      <c r="A28" s="4"/>
      <c r="L28" s="60"/>
      <c r="M28" s="60"/>
      <c r="R28" s="4"/>
      <c r="S28" s="4"/>
      <c r="T28" s="4"/>
    </row>
    <row r="29" spans="1:20" s="5" customFormat="1" x14ac:dyDescent="0.3">
      <c r="A29" s="4"/>
      <c r="L29" s="133"/>
      <c r="M29" s="133"/>
      <c r="R29" s="4"/>
      <c r="S29" s="4"/>
      <c r="T29" s="4"/>
    </row>
    <row r="30" spans="1:20" s="5" customFormat="1" x14ac:dyDescent="0.3">
      <c r="A30" s="4"/>
      <c r="L30" s="133"/>
      <c r="M30" s="133"/>
      <c r="R30" s="4"/>
      <c r="S30" s="4"/>
      <c r="T30" s="4"/>
    </row>
    <row r="31" spans="1:20" s="5" customFormat="1" x14ac:dyDescent="0.3">
      <c r="A31" s="4"/>
      <c r="L31" s="133"/>
      <c r="M31" s="133"/>
      <c r="R31" s="4"/>
      <c r="S31" s="4"/>
      <c r="T31" s="4"/>
    </row>
    <row r="32" spans="1:20" s="5" customFormat="1" x14ac:dyDescent="0.3">
      <c r="A32" s="4"/>
      <c r="L32" s="133"/>
      <c r="M32" s="133"/>
      <c r="R32" s="4"/>
      <c r="S32" s="4"/>
      <c r="T32" s="4"/>
    </row>
    <row r="33" spans="1:20" s="5" customFormat="1" x14ac:dyDescent="0.3">
      <c r="A33" s="4"/>
      <c r="L33" s="133"/>
      <c r="M33" s="133"/>
      <c r="R33" s="4"/>
      <c r="S33" s="4"/>
      <c r="T33" s="4"/>
    </row>
  </sheetData>
  <conditionalFormatting sqref="B9:B12">
    <cfRule type="cellIs" dxfId="2" priority="3" operator="greaterThanOrEqual">
      <formula>1</formula>
    </cfRule>
  </conditionalFormatting>
  <conditionalFormatting sqref="B3:K4">
    <cfRule type="cellIs" dxfId="1" priority="1" operator="greaterThan">
      <formula>0.01</formula>
    </cfRule>
  </conditionalFormatting>
  <conditionalFormatting sqref="B5:K5">
    <cfRule type="cellIs" dxfId="0" priority="5" operator="greaterThan">
      <formula>0.02</formula>
    </cfRule>
  </conditionalFormatting>
  <pageMargins left="0.7" right="0.7" top="0.75" bottom="0.75" header="0.3" footer="0.3"/>
  <pageSetup paperSize="9" orientation="portrait" horizontalDpi="1200" verticalDpi="12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FADD4-C8A4-4400-B68A-D96FC1366435}">
  <dimension ref="A2:L62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0" defaultRowHeight="15" x14ac:dyDescent="0.25"/>
  <cols>
    <col min="1" max="1" width="29" customWidth="1"/>
    <col min="2" max="11" width="14.7109375" style="3" customWidth="1"/>
    <col min="12" max="12" width="14.7109375" style="3" hidden="1" customWidth="1"/>
    <col min="13" max="16384" width="11.42578125" hidden="1"/>
  </cols>
  <sheetData>
    <row r="2" spans="2:12" s="65" customFormat="1" x14ac:dyDescent="0.25"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2:12" x14ac:dyDescent="0.25"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</row>
    <row r="4" spans="2:12" x14ac:dyDescent="0.25"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</row>
    <row r="5" spans="2:12" x14ac:dyDescent="0.25"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</row>
    <row r="6" spans="2:12" x14ac:dyDescent="0.25"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</row>
    <row r="7" spans="2:12" x14ac:dyDescent="0.25"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</row>
    <row r="8" spans="2:12" x14ac:dyDescent="0.25"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</row>
    <row r="9" spans="2:12" x14ac:dyDescent="0.25"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</row>
    <row r="10" spans="2:12" x14ac:dyDescent="0.25"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</row>
    <row r="11" spans="2:12" x14ac:dyDescent="0.25"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</row>
    <row r="12" spans="2:12" x14ac:dyDescent="0.25"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</row>
    <row r="13" spans="2:12" x14ac:dyDescent="0.25"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</row>
    <row r="14" spans="2:12" x14ac:dyDescent="0.25"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</row>
    <row r="15" spans="2:12" x14ac:dyDescent="0.25"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</row>
    <row r="16" spans="2:12" x14ac:dyDescent="0.25"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</row>
    <row r="17" spans="2:12" x14ac:dyDescent="0.25"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</row>
    <row r="18" spans="2:12" x14ac:dyDescent="0.25"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</row>
    <row r="19" spans="2:12" x14ac:dyDescent="0.25"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</row>
    <row r="20" spans="2:12" x14ac:dyDescent="0.25"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</row>
    <row r="21" spans="2:12" x14ac:dyDescent="0.25"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</row>
    <row r="22" spans="2:12" x14ac:dyDescent="0.25"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</row>
    <row r="23" spans="2:12" x14ac:dyDescent="0.25"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</row>
    <row r="24" spans="2:12" x14ac:dyDescent="0.25"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</row>
    <row r="25" spans="2:12" x14ac:dyDescent="0.25"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</row>
    <row r="26" spans="2:12" x14ac:dyDescent="0.25"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</row>
    <row r="27" spans="2:12" x14ac:dyDescent="0.25"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</row>
    <row r="28" spans="2:12" x14ac:dyDescent="0.25"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</row>
    <row r="29" spans="2:12" x14ac:dyDescent="0.25"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</row>
    <row r="30" spans="2:12" x14ac:dyDescent="0.25"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</row>
    <row r="31" spans="2:12" x14ac:dyDescent="0.25"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</row>
    <row r="32" spans="2:12" x14ac:dyDescent="0.25"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</row>
    <row r="33" spans="2:12" x14ac:dyDescent="0.25"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</row>
    <row r="34" spans="2:12" x14ac:dyDescent="0.25"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</row>
    <row r="35" spans="2:12" x14ac:dyDescent="0.25"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</row>
    <row r="36" spans="2:12" x14ac:dyDescent="0.25"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</row>
    <row r="37" spans="2:12" s="158" customFormat="1" x14ac:dyDescent="0.25"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</row>
    <row r="38" spans="2:12" x14ac:dyDescent="0.25"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</row>
    <row r="39" spans="2:12" x14ac:dyDescent="0.25"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</row>
    <row r="40" spans="2:12" x14ac:dyDescent="0.25"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</row>
    <row r="41" spans="2:12" x14ac:dyDescent="0.25"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</row>
    <row r="42" spans="2:12" x14ac:dyDescent="0.25"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</row>
    <row r="43" spans="2:12" x14ac:dyDescent="0.25"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</row>
    <row r="44" spans="2:12" x14ac:dyDescent="0.25"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</row>
    <row r="45" spans="2:12" x14ac:dyDescent="0.25"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</row>
    <row r="46" spans="2:12" x14ac:dyDescent="0.25"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</row>
    <row r="47" spans="2:12" x14ac:dyDescent="0.25"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</row>
    <row r="48" spans="2:12" x14ac:dyDescent="0.25"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</row>
    <row r="49" spans="2:12" x14ac:dyDescent="0.25"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</row>
    <row r="50" spans="2:12" x14ac:dyDescent="0.25"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</row>
    <row r="51" spans="2:12" x14ac:dyDescent="0.25"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</row>
    <row r="52" spans="2:12" x14ac:dyDescent="0.25"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</row>
    <row r="53" spans="2:12" x14ac:dyDescent="0.25"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</row>
    <row r="54" spans="2:12" x14ac:dyDescent="0.25"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</row>
    <row r="55" spans="2:12" x14ac:dyDescent="0.25"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</row>
    <row r="56" spans="2:12" x14ac:dyDescent="0.25"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</row>
    <row r="57" spans="2:12" x14ac:dyDescent="0.25"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</row>
    <row r="58" spans="2:12" x14ac:dyDescent="0.25">
      <c r="K58" s="64"/>
      <c r="L58" s="64"/>
    </row>
    <row r="59" spans="2:12" x14ac:dyDescent="0.25"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</row>
    <row r="60" spans="2:12" x14ac:dyDescent="0.25"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</row>
    <row r="62" spans="2:12" x14ac:dyDescent="0.25"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7B4B-89B8-4AC6-982A-7000E3238168}">
  <dimension ref="A1:L6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0" defaultRowHeight="15" x14ac:dyDescent="0.25"/>
  <cols>
    <col min="1" max="1" width="40.28515625" bestFit="1" customWidth="1"/>
    <col min="2" max="11" width="14.7109375" style="3" customWidth="1"/>
    <col min="12" max="12" width="14.7109375" style="3" hidden="1" customWidth="1"/>
    <col min="13" max="16384" width="11.42578125" hidden="1"/>
  </cols>
  <sheetData>
    <row r="1" spans="1:12" x14ac:dyDescent="0.25">
      <c r="A1" s="65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2" spans="1:12" x14ac:dyDescent="0.25">
      <c r="A2" s="65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4" spans="1:12" x14ac:dyDescent="0.25"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</row>
    <row r="5" spans="1:12" x14ac:dyDescent="0.25"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</row>
    <row r="6" spans="1:12" x14ac:dyDescent="0.25"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</row>
    <row r="7" spans="1:12" x14ac:dyDescent="0.25"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</row>
    <row r="8" spans="1:12" x14ac:dyDescent="0.25"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</row>
    <row r="9" spans="1:12" x14ac:dyDescent="0.25"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</row>
    <row r="10" spans="1:12" x14ac:dyDescent="0.25"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</row>
    <row r="11" spans="1:12" x14ac:dyDescent="0.25"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</row>
    <row r="12" spans="1:12" x14ac:dyDescent="0.25"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</row>
    <row r="13" spans="1:12" x14ac:dyDescent="0.25"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</row>
    <row r="14" spans="1:12" x14ac:dyDescent="0.25"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</row>
    <row r="15" spans="1:12" x14ac:dyDescent="0.25"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</row>
    <row r="16" spans="1:12" x14ac:dyDescent="0.25"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</row>
    <row r="17" spans="2:12" x14ac:dyDescent="0.25"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</row>
    <row r="18" spans="2:12" x14ac:dyDescent="0.25"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</row>
    <row r="19" spans="2:12" x14ac:dyDescent="0.25"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</row>
    <row r="20" spans="2:12" x14ac:dyDescent="0.25"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</row>
    <row r="21" spans="2:12" x14ac:dyDescent="0.25"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</row>
    <row r="22" spans="2:12" x14ac:dyDescent="0.25"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</row>
    <row r="23" spans="2:12" x14ac:dyDescent="0.25"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</row>
    <row r="24" spans="2:12" x14ac:dyDescent="0.25"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</row>
    <row r="25" spans="2:12" x14ac:dyDescent="0.25"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</row>
    <row r="26" spans="2:12" x14ac:dyDescent="0.25"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</row>
    <row r="27" spans="2:12" x14ac:dyDescent="0.25"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</row>
    <row r="28" spans="2:12" x14ac:dyDescent="0.25"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</row>
    <row r="29" spans="2:12" x14ac:dyDescent="0.25"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</row>
    <row r="30" spans="2:12" x14ac:dyDescent="0.25"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</row>
    <row r="31" spans="2:12" x14ac:dyDescent="0.25"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</row>
    <row r="32" spans="2:12" x14ac:dyDescent="0.25"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</row>
    <row r="33" spans="2:12" x14ac:dyDescent="0.25"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</row>
    <row r="34" spans="2:12" x14ac:dyDescent="0.25"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</row>
    <row r="35" spans="2:12" x14ac:dyDescent="0.25"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</row>
    <row r="36" spans="2:12" x14ac:dyDescent="0.25"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</row>
    <row r="37" spans="2:12" x14ac:dyDescent="0.25"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</row>
    <row r="38" spans="2:12" x14ac:dyDescent="0.25"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</row>
    <row r="39" spans="2:12" x14ac:dyDescent="0.25"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</row>
    <row r="40" spans="2:12" x14ac:dyDescent="0.25"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</row>
    <row r="41" spans="2:12" x14ac:dyDescent="0.25"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</row>
    <row r="42" spans="2:12" x14ac:dyDescent="0.25"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</row>
    <row r="43" spans="2:12" x14ac:dyDescent="0.25"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</row>
    <row r="44" spans="2:12" x14ac:dyDescent="0.25"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</row>
    <row r="45" spans="2:12" x14ac:dyDescent="0.25"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</row>
    <row r="46" spans="2:12" x14ac:dyDescent="0.25"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</row>
    <row r="47" spans="2:12" x14ac:dyDescent="0.25"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</row>
    <row r="48" spans="2:12" x14ac:dyDescent="0.25"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</row>
    <row r="49" spans="2:12" x14ac:dyDescent="0.25"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</row>
    <row r="50" spans="2:12" x14ac:dyDescent="0.25"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</row>
    <row r="51" spans="2:12" x14ac:dyDescent="0.25"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</row>
    <row r="52" spans="2:12" x14ac:dyDescent="0.25"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</row>
    <row r="53" spans="2:12" x14ac:dyDescent="0.25"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</row>
    <row r="54" spans="2:12" x14ac:dyDescent="0.25"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</row>
    <row r="55" spans="2:12" x14ac:dyDescent="0.25"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</row>
    <row r="56" spans="2:12" x14ac:dyDescent="0.25"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</row>
    <row r="57" spans="2:12" x14ac:dyDescent="0.25"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</row>
    <row r="58" spans="2:12" x14ac:dyDescent="0.25"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</row>
    <row r="59" spans="2:12" x14ac:dyDescent="0.25"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</row>
    <row r="60" spans="2:12" x14ac:dyDescent="0.25"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</row>
    <row r="61" spans="2:12" x14ac:dyDescent="0.25"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</row>
    <row r="62" spans="2:12" x14ac:dyDescent="0.25"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</row>
    <row r="63" spans="2:12" x14ac:dyDescent="0.25"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</row>
    <row r="64" spans="2:12" x14ac:dyDescent="0.25"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</row>
    <row r="65" spans="2:12" x14ac:dyDescent="0.25"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</row>
  </sheetData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5F573-FD70-43AA-9C68-646EEB9D54E7}">
  <dimension ref="A1:L9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0" defaultRowHeight="15" x14ac:dyDescent="0.25"/>
  <cols>
    <col min="1" max="1" width="56" bestFit="1" customWidth="1"/>
    <col min="2" max="11" width="14.7109375" style="3" customWidth="1"/>
    <col min="12" max="12" width="14.7109375" style="3" hidden="1" customWidth="1"/>
    <col min="13" max="16384" width="11.42578125" hidden="1"/>
  </cols>
  <sheetData>
    <row r="1" spans="1:12" x14ac:dyDescent="0.25">
      <c r="A1" s="69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2" x14ac:dyDescent="0.25">
      <c r="A2" s="69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 x14ac:dyDescent="0.25">
      <c r="A3" s="72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</row>
    <row r="4" spans="1:12" x14ac:dyDescent="0.25">
      <c r="A4" s="72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</row>
    <row r="5" spans="1:12" x14ac:dyDescent="0.25">
      <c r="A5" s="72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x14ac:dyDescent="0.25">
      <c r="A6" s="72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</row>
    <row r="7" spans="1:12" x14ac:dyDescent="0.25">
      <c r="A7" s="72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</row>
    <row r="8" spans="1:12" x14ac:dyDescent="0.25">
      <c r="A8" s="72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</row>
    <row r="9" spans="1:12" x14ac:dyDescent="0.25">
      <c r="A9" s="72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</row>
    <row r="10" spans="1:12" x14ac:dyDescent="0.25">
      <c r="A10" s="72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</row>
    <row r="11" spans="1:12" x14ac:dyDescent="0.25">
      <c r="A11" s="72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</row>
    <row r="12" spans="1:12" x14ac:dyDescent="0.25">
      <c r="A12" s="72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</row>
    <row r="13" spans="1:12" x14ac:dyDescent="0.25">
      <c r="A13" s="72"/>
      <c r="B13" s="74"/>
      <c r="C13" s="74"/>
      <c r="D13" s="74"/>
      <c r="E13" s="73"/>
      <c r="F13" s="74"/>
      <c r="G13" s="73"/>
      <c r="H13" s="74"/>
      <c r="I13" s="74"/>
      <c r="J13" s="74"/>
      <c r="K13" s="74"/>
      <c r="L13" s="74"/>
    </row>
    <row r="14" spans="1:12" x14ac:dyDescent="0.25">
      <c r="A14" s="72"/>
      <c r="B14" s="73"/>
      <c r="C14" s="74"/>
      <c r="D14" s="73"/>
      <c r="E14" s="74"/>
      <c r="F14" s="74"/>
      <c r="G14" s="73"/>
      <c r="H14" s="74"/>
      <c r="I14" s="74"/>
      <c r="J14" s="74"/>
      <c r="K14" s="74"/>
      <c r="L14" s="74"/>
    </row>
    <row r="15" spans="1:12" x14ac:dyDescent="0.25">
      <c r="A15" s="72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</row>
    <row r="16" spans="1:12" x14ac:dyDescent="0.25">
      <c r="A16" s="72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</row>
    <row r="17" spans="1:12" x14ac:dyDescent="0.25">
      <c r="A17" s="72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</row>
    <row r="18" spans="1:12" x14ac:dyDescent="0.25">
      <c r="A18" s="72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</row>
    <row r="19" spans="1:12" x14ac:dyDescent="0.25">
      <c r="A19" s="72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</row>
    <row r="20" spans="1:12" x14ac:dyDescent="0.25">
      <c r="A20" s="72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</row>
    <row r="21" spans="1:12" x14ac:dyDescent="0.25">
      <c r="A21" s="72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</row>
    <row r="22" spans="1:12" x14ac:dyDescent="0.25">
      <c r="A22" s="72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</row>
    <row r="23" spans="1:12" x14ac:dyDescent="0.25">
      <c r="A23" s="72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</row>
    <row r="24" spans="1:12" x14ac:dyDescent="0.25">
      <c r="A24" s="72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</row>
    <row r="25" spans="1:12" x14ac:dyDescent="0.25">
      <c r="A25" s="72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</row>
    <row r="26" spans="1:12" x14ac:dyDescent="0.25">
      <c r="A26" s="72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</row>
    <row r="27" spans="1:12" x14ac:dyDescent="0.25">
      <c r="A27" s="72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</row>
    <row r="28" spans="1:12" x14ac:dyDescent="0.25">
      <c r="A28" s="72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</row>
    <row r="29" spans="1:12" x14ac:dyDescent="0.25">
      <c r="A29" s="72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</row>
    <row r="30" spans="1:12" x14ac:dyDescent="0.25">
      <c r="A30" s="72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</row>
    <row r="31" spans="1:12" x14ac:dyDescent="0.25">
      <c r="A31" s="72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</row>
    <row r="32" spans="1:12" x14ac:dyDescent="0.25">
      <c r="A32" s="72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</row>
    <row r="33" spans="1:12" x14ac:dyDescent="0.25">
      <c r="A33" s="72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</row>
    <row r="34" spans="1:12" x14ac:dyDescent="0.25">
      <c r="A34" s="72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</row>
    <row r="35" spans="1:12" x14ac:dyDescent="0.25">
      <c r="A35" s="72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</row>
    <row r="36" spans="1:12" x14ac:dyDescent="0.25">
      <c r="A36" s="72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</row>
    <row r="37" spans="1:12" x14ac:dyDescent="0.25">
      <c r="A37" s="72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</row>
    <row r="38" spans="1:12" x14ac:dyDescent="0.25">
      <c r="A38" s="72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</row>
    <row r="39" spans="1:12" x14ac:dyDescent="0.25">
      <c r="A39" s="72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</row>
    <row r="40" spans="1:12" x14ac:dyDescent="0.25">
      <c r="A40" s="72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</row>
    <row r="41" spans="1:12" x14ac:dyDescent="0.25">
      <c r="A41" s="72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</row>
    <row r="42" spans="1:12" x14ac:dyDescent="0.25">
      <c r="A42" s="72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</row>
    <row r="43" spans="1:12" x14ac:dyDescent="0.25">
      <c r="A43" s="72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</row>
    <row r="44" spans="1:12" x14ac:dyDescent="0.25">
      <c r="A44" s="72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</row>
    <row r="45" spans="1:12" x14ac:dyDescent="0.25">
      <c r="A45" s="72"/>
      <c r="B45" s="74"/>
      <c r="C45" s="73"/>
      <c r="D45" s="74"/>
      <c r="E45" s="74"/>
      <c r="F45" s="73"/>
      <c r="G45" s="74"/>
      <c r="H45" s="74"/>
      <c r="I45" s="74"/>
      <c r="J45" s="74"/>
      <c r="K45" s="74"/>
      <c r="L45" s="74"/>
    </row>
    <row r="46" spans="1:12" x14ac:dyDescent="0.25">
      <c r="A46" s="72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</row>
    <row r="47" spans="1:12" x14ac:dyDescent="0.25">
      <c r="A47" s="72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</row>
    <row r="48" spans="1:12" x14ac:dyDescent="0.25">
      <c r="A48" s="72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</row>
    <row r="49" spans="1:12" x14ac:dyDescent="0.25">
      <c r="A49" s="72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</row>
    <row r="50" spans="1:12" x14ac:dyDescent="0.25">
      <c r="A50" s="72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</row>
    <row r="51" spans="1:12" x14ac:dyDescent="0.25">
      <c r="A51" s="72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</row>
    <row r="52" spans="1:12" x14ac:dyDescent="0.25">
      <c r="A52" s="72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</row>
    <row r="53" spans="1:12" x14ac:dyDescent="0.25">
      <c r="A53" s="72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</row>
    <row r="54" spans="1:12" x14ac:dyDescent="0.25">
      <c r="A54" s="72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</row>
    <row r="55" spans="1:12" x14ac:dyDescent="0.25">
      <c r="A55" s="72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</row>
    <row r="56" spans="1:12" x14ac:dyDescent="0.25">
      <c r="A56" s="72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</row>
    <row r="57" spans="1:12" x14ac:dyDescent="0.25">
      <c r="A57" s="72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</row>
    <row r="58" spans="1:12" x14ac:dyDescent="0.25">
      <c r="A58" s="72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</row>
    <row r="59" spans="1:12" x14ac:dyDescent="0.25">
      <c r="A59" s="72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</row>
    <row r="60" spans="1:12" x14ac:dyDescent="0.25">
      <c r="A60" s="72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</row>
    <row r="61" spans="1:12" x14ac:dyDescent="0.25">
      <c r="A61" s="72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</row>
    <row r="62" spans="1:12" x14ac:dyDescent="0.25">
      <c r="A62" s="72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</row>
    <row r="63" spans="1:12" x14ac:dyDescent="0.25">
      <c r="A63" s="72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</row>
    <row r="64" spans="1:12" x14ac:dyDescent="0.25">
      <c r="A64" s="72"/>
      <c r="B64" s="73"/>
      <c r="C64" s="73"/>
      <c r="D64" s="73"/>
      <c r="E64" s="73"/>
      <c r="F64" s="73"/>
      <c r="G64" s="73"/>
      <c r="H64" s="73"/>
      <c r="I64" s="73"/>
      <c r="J64" s="73"/>
      <c r="K64" s="74"/>
      <c r="L64" s="74"/>
    </row>
    <row r="65" spans="1:12" x14ac:dyDescent="0.25">
      <c r="A65" s="72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</row>
    <row r="66" spans="1:12" x14ac:dyDescent="0.25">
      <c r="A66" s="72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</row>
    <row r="67" spans="1:12" x14ac:dyDescent="0.25">
      <c r="A67" s="72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</row>
    <row r="68" spans="1:12" x14ac:dyDescent="0.25">
      <c r="A68" s="72"/>
      <c r="B68" s="73"/>
      <c r="C68" s="73"/>
      <c r="D68" s="73"/>
      <c r="E68" s="73"/>
      <c r="F68" s="73"/>
      <c r="G68" s="73"/>
      <c r="H68" s="73"/>
      <c r="I68" s="73"/>
      <c r="J68" s="73"/>
      <c r="K68" s="74"/>
      <c r="L68" s="74"/>
    </row>
    <row r="69" spans="1:12" x14ac:dyDescent="0.25">
      <c r="A69" s="72"/>
      <c r="B69" s="73"/>
      <c r="C69" s="73"/>
      <c r="D69" s="73"/>
      <c r="E69" s="73"/>
      <c r="F69" s="73"/>
      <c r="G69" s="73"/>
      <c r="H69" s="73"/>
      <c r="I69" s="73"/>
      <c r="J69" s="73"/>
      <c r="K69" s="74"/>
      <c r="L69" s="74"/>
    </row>
    <row r="70" spans="1:12" x14ac:dyDescent="0.25">
      <c r="A70" s="72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</row>
    <row r="71" spans="1:12" x14ac:dyDescent="0.25">
      <c r="A71" s="72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</row>
    <row r="72" spans="1:12" x14ac:dyDescent="0.25">
      <c r="A72" s="72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</row>
    <row r="73" spans="1:12" x14ac:dyDescent="0.25">
      <c r="A73" s="72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</row>
    <row r="74" spans="1:12" x14ac:dyDescent="0.25">
      <c r="A74" s="72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</row>
    <row r="75" spans="1:12" x14ac:dyDescent="0.25">
      <c r="A75" s="72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</row>
    <row r="76" spans="1:12" x14ac:dyDescent="0.25">
      <c r="A76" s="72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</row>
    <row r="77" spans="1:12" x14ac:dyDescent="0.25">
      <c r="A77" s="72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1:12" x14ac:dyDescent="0.25">
      <c r="A78" s="72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1:12" x14ac:dyDescent="0.25">
      <c r="A79" s="72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1:12" x14ac:dyDescent="0.25">
      <c r="A80" s="72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1:12" x14ac:dyDescent="0.25">
      <c r="A81" s="72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</row>
    <row r="82" spans="1:12" x14ac:dyDescent="0.25">
      <c r="A82" s="72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</row>
    <row r="83" spans="1:12" x14ac:dyDescent="0.25">
      <c r="A83" s="72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</row>
    <row r="84" spans="1:12" x14ac:dyDescent="0.25">
      <c r="A84" s="72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</row>
    <row r="85" spans="1:12" x14ac:dyDescent="0.25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1:12" x14ac:dyDescent="0.25">
      <c r="A86" s="72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</row>
    <row r="87" spans="1:12" x14ac:dyDescent="0.25">
      <c r="A87" s="72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</row>
    <row r="88" spans="1:12" x14ac:dyDescent="0.25">
      <c r="A88" s="72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1:12" x14ac:dyDescent="0.25">
      <c r="A89" s="72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1:12" x14ac:dyDescent="0.25">
      <c r="A90" s="72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1:12" x14ac:dyDescent="0.25">
      <c r="A91" s="72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</row>
    <row r="92" spans="1:12" x14ac:dyDescent="0.25">
      <c r="A92" s="72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</row>
    <row r="93" spans="1:12" x14ac:dyDescent="0.25">
      <c r="A93" s="72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</row>
    <row r="94" spans="1:12" x14ac:dyDescent="0.25">
      <c r="A94" s="72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</row>
    <row r="95" spans="1:12" x14ac:dyDescent="0.25">
      <c r="A95" s="72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1:12" x14ac:dyDescent="0.25">
      <c r="A96" s="72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</row>
    <row r="97" spans="1:12" x14ac:dyDescent="0.25">
      <c r="A97" s="72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</row>
    <row r="98" spans="1:12" x14ac:dyDescent="0.25">
      <c r="A98" s="72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1:12" x14ac:dyDescent="0.25">
      <c r="A99" s="72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</sheetData>
  <sheetProtection formatCells="0" formatColumns="0" formatRows="0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89650-348F-4BAF-A3E8-F193B2547EB0}">
  <dimension ref="A1:T65"/>
  <sheetViews>
    <sheetView showGridLines="0" zoomScale="80" zoomScaleNormal="80" workbookViewId="0">
      <selection activeCell="B2" sqref="B2"/>
    </sheetView>
  </sheetViews>
  <sheetFormatPr baseColWidth="10" defaultColWidth="0" defaultRowHeight="17.25" zeroHeight="1" x14ac:dyDescent="0.25"/>
  <cols>
    <col min="1" max="1" width="4" style="6" customWidth="1"/>
    <col min="2" max="2" width="50.5703125" style="6" customWidth="1"/>
    <col min="3" max="3" width="79" style="17" customWidth="1"/>
    <col min="4" max="4" width="83.42578125" style="17" customWidth="1"/>
    <col min="5" max="5" width="69.42578125" style="17" customWidth="1"/>
    <col min="6" max="6" width="56.42578125" style="6" customWidth="1"/>
    <col min="7" max="8" width="13.85546875" style="6" hidden="1" customWidth="1"/>
    <col min="9" max="14" width="16.85546875" style="6" hidden="1" customWidth="1"/>
    <col min="15" max="15" width="1.85546875" style="6" hidden="1" customWidth="1"/>
    <col min="16" max="18" width="0" style="6" hidden="1" customWidth="1"/>
    <col min="19" max="21" width="9.140625" style="6" hidden="1" customWidth="1"/>
    <col min="22" max="16384" width="9.140625" style="6" hidden="1"/>
  </cols>
  <sheetData>
    <row r="1" spans="1:20" x14ac:dyDescent="0.25">
      <c r="A1" s="21"/>
      <c r="B1" s="21"/>
      <c r="C1" s="26"/>
      <c r="D1" s="26"/>
      <c r="E1" s="26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20" ht="30" customHeight="1" x14ac:dyDescent="0.25">
      <c r="A2" s="21"/>
      <c r="B2" s="32" t="s">
        <v>66</v>
      </c>
      <c r="C2" s="32" t="s">
        <v>56</v>
      </c>
      <c r="D2" s="32" t="s">
        <v>57</v>
      </c>
      <c r="E2" s="32" t="s">
        <v>58</v>
      </c>
      <c r="F2" s="22"/>
      <c r="G2" s="22"/>
      <c r="H2" s="22"/>
      <c r="I2" s="22"/>
      <c r="J2" s="22"/>
      <c r="K2" s="22"/>
      <c r="L2" s="22"/>
      <c r="M2" s="23"/>
      <c r="N2" s="23"/>
      <c r="O2" s="24"/>
      <c r="P2" s="21"/>
      <c r="Q2" s="21"/>
      <c r="R2" s="21"/>
      <c r="S2" s="21"/>
      <c r="T2" s="21"/>
    </row>
    <row r="3" spans="1:20" ht="30" customHeight="1" x14ac:dyDescent="0.25">
      <c r="A3" s="21"/>
      <c r="B3" s="33" t="s">
        <v>1</v>
      </c>
      <c r="C3" s="36" t="s">
        <v>17</v>
      </c>
      <c r="D3" s="36" t="s">
        <v>18</v>
      </c>
      <c r="E3" s="36" t="s">
        <v>19</v>
      </c>
      <c r="F3" s="25"/>
      <c r="G3" s="25"/>
      <c r="H3" s="25"/>
      <c r="I3" s="25"/>
      <c r="J3" s="25"/>
      <c r="K3" s="25"/>
      <c r="L3" s="25"/>
      <c r="M3" s="25"/>
      <c r="N3" s="25"/>
      <c r="O3" s="26"/>
      <c r="P3" s="21"/>
      <c r="Q3" s="21"/>
      <c r="R3" s="21"/>
      <c r="S3" s="21"/>
      <c r="T3" s="21"/>
    </row>
    <row r="4" spans="1:20" ht="30" customHeight="1" x14ac:dyDescent="0.25">
      <c r="A4" s="21"/>
      <c r="B4" s="112" t="s">
        <v>2</v>
      </c>
      <c r="C4" s="113" t="s">
        <v>20</v>
      </c>
      <c r="D4" s="113" t="s">
        <v>21</v>
      </c>
      <c r="E4" s="113" t="s">
        <v>22</v>
      </c>
      <c r="F4" s="25"/>
      <c r="G4" s="25"/>
      <c r="H4" s="25"/>
      <c r="I4" s="25"/>
      <c r="J4" s="25"/>
      <c r="K4" s="25"/>
      <c r="L4" s="25"/>
      <c r="M4" s="25"/>
      <c r="N4" s="25"/>
      <c r="O4" s="26"/>
      <c r="P4" s="21"/>
      <c r="Q4" s="21"/>
      <c r="R4" s="21"/>
      <c r="S4" s="21"/>
      <c r="T4" s="21"/>
    </row>
    <row r="5" spans="1:20" ht="30" customHeight="1" x14ac:dyDescent="0.25">
      <c r="A5" s="21"/>
      <c r="B5" s="33" t="s">
        <v>7</v>
      </c>
      <c r="C5" s="36" t="s">
        <v>23</v>
      </c>
      <c r="D5" s="36" t="s">
        <v>25</v>
      </c>
      <c r="E5" s="36" t="s">
        <v>24</v>
      </c>
      <c r="F5" s="25"/>
      <c r="G5" s="25"/>
      <c r="H5" s="25"/>
      <c r="I5" s="25"/>
      <c r="J5" s="25"/>
      <c r="K5" s="25"/>
      <c r="L5" s="25"/>
      <c r="M5" s="25"/>
      <c r="N5" s="25"/>
      <c r="O5" s="26"/>
      <c r="P5" s="21"/>
      <c r="Q5" s="21"/>
      <c r="R5" s="21"/>
      <c r="S5" s="21"/>
      <c r="T5" s="21"/>
    </row>
    <row r="6" spans="1:20" ht="30" customHeight="1" x14ac:dyDescent="0.25">
      <c r="A6" s="21"/>
      <c r="B6" s="112" t="s">
        <v>0</v>
      </c>
      <c r="C6" s="113" t="s">
        <v>26</v>
      </c>
      <c r="D6" s="113" t="s">
        <v>27</v>
      </c>
      <c r="E6" s="113"/>
      <c r="F6" s="25"/>
      <c r="G6" s="25"/>
      <c r="H6" s="25"/>
      <c r="I6" s="25"/>
      <c r="J6" s="25"/>
      <c r="K6" s="25"/>
      <c r="L6" s="25"/>
      <c r="M6" s="25"/>
      <c r="N6" s="25"/>
      <c r="O6" s="26"/>
      <c r="P6" s="21"/>
      <c r="Q6" s="21"/>
      <c r="R6" s="21"/>
      <c r="S6" s="21"/>
      <c r="T6" s="21"/>
    </row>
    <row r="7" spans="1:20" ht="30" customHeight="1" x14ac:dyDescent="0.25">
      <c r="A7" s="21"/>
      <c r="B7" s="33" t="s">
        <v>8</v>
      </c>
      <c r="C7" s="34" t="s">
        <v>28</v>
      </c>
      <c r="D7" s="36"/>
      <c r="E7" s="36"/>
      <c r="F7" s="25"/>
      <c r="G7" s="25"/>
      <c r="H7" s="25"/>
      <c r="I7" s="25"/>
      <c r="J7" s="25"/>
      <c r="K7" s="25"/>
      <c r="L7" s="25"/>
      <c r="M7" s="25"/>
      <c r="N7" s="25"/>
      <c r="O7" s="26"/>
      <c r="P7" s="21"/>
      <c r="Q7" s="21"/>
      <c r="R7" s="21"/>
      <c r="S7" s="21"/>
      <c r="T7" s="21"/>
    </row>
    <row r="8" spans="1:20" ht="24.95" customHeight="1" x14ac:dyDescent="0.25">
      <c r="A8" s="21"/>
      <c r="C8" s="6"/>
      <c r="D8" s="6"/>
      <c r="E8" s="6"/>
      <c r="F8" s="25"/>
      <c r="G8" s="25"/>
      <c r="H8" s="25"/>
      <c r="I8" s="25"/>
      <c r="J8" s="25"/>
      <c r="K8" s="25"/>
      <c r="L8" s="25"/>
      <c r="M8" s="25"/>
      <c r="N8" s="25"/>
      <c r="O8" s="26"/>
      <c r="P8" s="21"/>
      <c r="Q8" s="21"/>
      <c r="R8" s="21"/>
      <c r="S8" s="21"/>
      <c r="T8" s="21"/>
    </row>
    <row r="9" spans="1:20" ht="30" customHeight="1" x14ac:dyDescent="0.25">
      <c r="A9" s="21"/>
      <c r="B9" s="31" t="s">
        <v>60</v>
      </c>
      <c r="C9" s="32" t="s">
        <v>56</v>
      </c>
      <c r="D9" s="32" t="s">
        <v>57</v>
      </c>
      <c r="E9" s="32" t="s">
        <v>58</v>
      </c>
      <c r="F9" s="25"/>
      <c r="G9" s="25"/>
      <c r="H9" s="25"/>
      <c r="I9" s="25"/>
      <c r="J9" s="25"/>
      <c r="K9" s="25"/>
      <c r="L9" s="25"/>
      <c r="M9" s="25"/>
      <c r="N9" s="25"/>
      <c r="O9" s="26"/>
      <c r="P9" s="21"/>
      <c r="Q9" s="21"/>
      <c r="R9" s="21"/>
      <c r="S9" s="21"/>
      <c r="T9" s="21"/>
    </row>
    <row r="10" spans="1:20" ht="30" customHeight="1" x14ac:dyDescent="0.25">
      <c r="A10" s="21"/>
      <c r="B10" s="33" t="s">
        <v>87</v>
      </c>
      <c r="C10" s="36" t="s">
        <v>88</v>
      </c>
      <c r="D10" s="34"/>
      <c r="E10" s="35"/>
      <c r="F10" s="25"/>
      <c r="G10" s="25"/>
      <c r="H10" s="25"/>
      <c r="I10" s="25"/>
      <c r="J10" s="25"/>
      <c r="K10" s="25"/>
      <c r="L10" s="25"/>
      <c r="M10" s="25"/>
      <c r="N10" s="25"/>
      <c r="O10" s="26"/>
      <c r="P10" s="21"/>
      <c r="Q10" s="21"/>
      <c r="R10" s="21"/>
      <c r="S10" s="21"/>
      <c r="T10" s="21"/>
    </row>
    <row r="11" spans="1:20" ht="30" customHeight="1" x14ac:dyDescent="0.25">
      <c r="A11" s="21"/>
      <c r="B11" s="112" t="s">
        <v>15</v>
      </c>
      <c r="C11" s="114" t="s">
        <v>16</v>
      </c>
      <c r="D11" s="114"/>
      <c r="E11" s="115"/>
      <c r="F11" s="25"/>
      <c r="G11" s="25"/>
      <c r="H11" s="25"/>
      <c r="I11" s="25"/>
      <c r="J11" s="25"/>
      <c r="K11" s="25"/>
      <c r="L11" s="25"/>
      <c r="M11" s="25"/>
      <c r="N11" s="25"/>
      <c r="O11" s="26"/>
      <c r="P11" s="21"/>
      <c r="Q11" s="21"/>
      <c r="R11" s="21"/>
      <c r="S11" s="21"/>
      <c r="T11" s="21"/>
    </row>
    <row r="12" spans="1:20" ht="30" customHeight="1" x14ac:dyDescent="0.25">
      <c r="A12" s="21"/>
      <c r="B12" s="33" t="s">
        <v>13</v>
      </c>
      <c r="C12" s="36" t="s">
        <v>89</v>
      </c>
      <c r="D12" s="36" t="s">
        <v>14</v>
      </c>
      <c r="E12" s="37"/>
      <c r="F12" s="25"/>
      <c r="G12" s="25"/>
      <c r="H12" s="25"/>
      <c r="I12" s="25"/>
      <c r="J12" s="25"/>
      <c r="K12" s="25"/>
      <c r="L12" s="25"/>
      <c r="M12" s="25"/>
      <c r="N12" s="25"/>
      <c r="O12" s="26"/>
      <c r="P12" s="21"/>
      <c r="Q12" s="21"/>
      <c r="R12" s="21"/>
      <c r="S12" s="21"/>
      <c r="T12" s="21"/>
    </row>
    <row r="13" spans="1:20" ht="30" customHeight="1" x14ac:dyDescent="0.25">
      <c r="A13" s="21"/>
      <c r="B13" s="112" t="s">
        <v>74</v>
      </c>
      <c r="C13" s="114" t="s">
        <v>63</v>
      </c>
      <c r="D13" s="114"/>
      <c r="E13" s="115"/>
      <c r="F13" s="25"/>
      <c r="G13" s="25"/>
      <c r="H13" s="25"/>
      <c r="I13" s="25"/>
      <c r="J13" s="25"/>
      <c r="K13" s="25"/>
      <c r="L13" s="25"/>
      <c r="M13" s="25"/>
      <c r="N13" s="25"/>
      <c r="O13" s="26"/>
      <c r="P13" s="21"/>
      <c r="Q13" s="21"/>
      <c r="R13" s="21"/>
      <c r="S13" s="21"/>
      <c r="T13" s="21"/>
    </row>
    <row r="14" spans="1:20" ht="30" customHeight="1" x14ac:dyDescent="0.25">
      <c r="A14" s="21"/>
      <c r="B14" s="33" t="s">
        <v>75</v>
      </c>
      <c r="C14" s="34" t="s">
        <v>64</v>
      </c>
      <c r="D14" s="34"/>
      <c r="E14" s="35"/>
      <c r="F14" s="25"/>
      <c r="G14" s="25"/>
      <c r="H14" s="25"/>
      <c r="I14" s="25"/>
      <c r="J14" s="25"/>
      <c r="K14" s="25"/>
      <c r="L14" s="25"/>
      <c r="M14" s="25"/>
      <c r="N14" s="25"/>
      <c r="O14" s="26"/>
      <c r="P14" s="21"/>
      <c r="Q14" s="21"/>
      <c r="R14" s="21"/>
      <c r="S14" s="21"/>
      <c r="T14" s="21"/>
    </row>
    <row r="15" spans="1:20" ht="30" customHeight="1" x14ac:dyDescent="0.25">
      <c r="A15" s="21"/>
      <c r="B15" s="112" t="s">
        <v>73</v>
      </c>
      <c r="C15" s="114" t="s">
        <v>65</v>
      </c>
      <c r="D15" s="114"/>
      <c r="E15" s="115"/>
      <c r="F15" s="25"/>
      <c r="G15" s="25"/>
      <c r="H15" s="25"/>
      <c r="I15" s="25"/>
      <c r="J15" s="25"/>
      <c r="K15" s="25"/>
      <c r="L15" s="25"/>
      <c r="M15" s="25"/>
      <c r="N15" s="25"/>
      <c r="O15" s="26"/>
      <c r="P15" s="21"/>
      <c r="Q15" s="21"/>
      <c r="R15" s="21"/>
      <c r="S15" s="21"/>
      <c r="T15" s="21"/>
    </row>
    <row r="16" spans="1:20" ht="30" customHeight="1" x14ac:dyDescent="0.25">
      <c r="A16" s="21"/>
      <c r="B16" s="33" t="s">
        <v>10</v>
      </c>
      <c r="C16" s="34" t="s">
        <v>11</v>
      </c>
      <c r="D16" s="34" t="s">
        <v>12</v>
      </c>
      <c r="E16" s="35"/>
      <c r="F16" s="25"/>
      <c r="G16" s="25"/>
      <c r="H16" s="25"/>
      <c r="I16" s="25"/>
      <c r="J16" s="25"/>
      <c r="K16" s="25"/>
      <c r="L16" s="25"/>
      <c r="M16" s="25"/>
      <c r="N16" s="25"/>
      <c r="O16" s="26"/>
      <c r="P16" s="21"/>
      <c r="Q16" s="21"/>
      <c r="R16" s="21"/>
      <c r="S16" s="21"/>
      <c r="T16" s="21"/>
    </row>
    <row r="17" spans="1:20" ht="24.95" customHeight="1" x14ac:dyDescent="0.25">
      <c r="A17" s="21"/>
      <c r="C17" s="6"/>
      <c r="D17" s="6"/>
      <c r="E17" s="6"/>
      <c r="F17" s="27"/>
      <c r="G17" s="27"/>
      <c r="H17" s="27"/>
      <c r="I17" s="27"/>
      <c r="J17" s="27"/>
      <c r="K17" s="27"/>
      <c r="L17" s="27"/>
      <c r="M17" s="27"/>
      <c r="N17" s="27"/>
      <c r="O17" s="28"/>
      <c r="P17" s="21"/>
      <c r="Q17" s="21"/>
      <c r="R17" s="21"/>
      <c r="S17" s="21"/>
      <c r="T17" s="21"/>
    </row>
    <row r="18" spans="1:20" ht="30" customHeight="1" x14ac:dyDescent="0.25">
      <c r="A18" s="21"/>
      <c r="B18" s="31" t="s">
        <v>61</v>
      </c>
      <c r="C18" s="32" t="s">
        <v>56</v>
      </c>
      <c r="D18" s="32" t="s">
        <v>57</v>
      </c>
      <c r="E18" s="32" t="s">
        <v>58</v>
      </c>
      <c r="F18" s="29"/>
      <c r="G18" s="29"/>
      <c r="H18" s="29"/>
      <c r="I18" s="29"/>
      <c r="J18" s="29"/>
      <c r="K18" s="29"/>
      <c r="L18" s="29"/>
      <c r="M18" s="29"/>
      <c r="N18" s="29"/>
      <c r="O18" s="28"/>
      <c r="P18" s="21"/>
      <c r="Q18" s="21"/>
      <c r="R18" s="21"/>
      <c r="S18" s="21"/>
      <c r="T18" s="21"/>
    </row>
    <row r="19" spans="1:20" ht="30" customHeight="1" x14ac:dyDescent="0.25">
      <c r="A19" s="21"/>
      <c r="B19" s="33" t="s">
        <v>1</v>
      </c>
      <c r="C19" s="34" t="s">
        <v>30</v>
      </c>
      <c r="D19" s="34"/>
      <c r="E19" s="35"/>
      <c r="F19" s="25"/>
      <c r="G19" s="25"/>
      <c r="H19" s="25"/>
      <c r="I19" s="25"/>
      <c r="J19" s="25"/>
      <c r="K19" s="25"/>
      <c r="L19" s="25"/>
      <c r="M19" s="25"/>
      <c r="N19" s="25"/>
      <c r="O19" s="28"/>
      <c r="P19" s="21"/>
      <c r="Q19" s="21"/>
      <c r="R19" s="21"/>
      <c r="S19" s="21"/>
      <c r="T19" s="21"/>
    </row>
    <row r="20" spans="1:20" ht="30" customHeight="1" x14ac:dyDescent="0.25">
      <c r="A20" s="21"/>
      <c r="B20" s="112" t="s">
        <v>2</v>
      </c>
      <c r="C20" s="114" t="s">
        <v>31</v>
      </c>
      <c r="D20" s="114"/>
      <c r="E20" s="115"/>
      <c r="F20" s="25"/>
      <c r="G20" s="25"/>
      <c r="H20" s="25"/>
      <c r="I20" s="25"/>
      <c r="J20" s="25"/>
      <c r="K20" s="25"/>
      <c r="L20" s="25"/>
      <c r="M20" s="25"/>
      <c r="N20" s="25"/>
      <c r="O20" s="28"/>
      <c r="P20" s="21"/>
      <c r="Q20" s="21"/>
      <c r="R20" s="21"/>
      <c r="S20" s="21"/>
      <c r="T20" s="21"/>
    </row>
    <row r="21" spans="1:20" ht="30" customHeight="1" x14ac:dyDescent="0.25">
      <c r="A21" s="21"/>
      <c r="B21" s="33" t="s">
        <v>29</v>
      </c>
      <c r="C21" s="34" t="s">
        <v>32</v>
      </c>
      <c r="D21" s="34"/>
      <c r="E21" s="35"/>
      <c r="F21" s="25"/>
      <c r="G21" s="25"/>
      <c r="H21" s="25"/>
      <c r="I21" s="25"/>
      <c r="J21" s="25"/>
      <c r="K21" s="25"/>
      <c r="L21" s="25"/>
      <c r="M21" s="25"/>
      <c r="N21" s="25"/>
      <c r="O21" s="28"/>
      <c r="P21" s="21"/>
      <c r="Q21" s="21"/>
      <c r="R21" s="21"/>
      <c r="S21" s="21"/>
      <c r="T21" s="21"/>
    </row>
    <row r="22" spans="1:20" ht="30" customHeight="1" x14ac:dyDescent="0.25">
      <c r="A22" s="21"/>
      <c r="B22" s="112" t="s">
        <v>3</v>
      </c>
      <c r="C22" s="114" t="s">
        <v>33</v>
      </c>
      <c r="D22" s="114"/>
      <c r="E22" s="115"/>
      <c r="F22" s="25"/>
      <c r="G22" s="25"/>
      <c r="H22" s="25"/>
      <c r="I22" s="25"/>
      <c r="J22" s="25"/>
      <c r="K22" s="25"/>
      <c r="L22" s="25"/>
      <c r="M22" s="25"/>
      <c r="N22" s="25"/>
      <c r="O22" s="28"/>
      <c r="P22" s="21"/>
      <c r="Q22" s="21"/>
      <c r="R22" s="21"/>
      <c r="S22" s="21"/>
      <c r="T22" s="21"/>
    </row>
    <row r="23" spans="1:20" ht="24.95" customHeight="1" x14ac:dyDescent="0.25">
      <c r="A23" s="21"/>
      <c r="B23" s="33"/>
      <c r="C23" s="34"/>
      <c r="D23" s="34"/>
      <c r="E23" s="35"/>
      <c r="F23" s="25"/>
      <c r="G23" s="25"/>
      <c r="H23" s="25"/>
      <c r="I23" s="25"/>
      <c r="J23" s="25"/>
      <c r="K23" s="25"/>
      <c r="L23" s="25"/>
      <c r="M23" s="25"/>
      <c r="N23" s="25"/>
      <c r="O23" s="28"/>
      <c r="P23" s="21"/>
      <c r="Q23" s="21"/>
      <c r="R23" s="21"/>
      <c r="S23" s="21"/>
      <c r="T23" s="21"/>
    </row>
    <row r="24" spans="1:20" ht="30" customHeight="1" x14ac:dyDescent="0.25">
      <c r="A24" s="21"/>
      <c r="B24" s="31" t="s">
        <v>62</v>
      </c>
      <c r="C24" s="32" t="s">
        <v>56</v>
      </c>
      <c r="D24" s="32" t="s">
        <v>57</v>
      </c>
      <c r="E24" s="32" t="s">
        <v>58</v>
      </c>
      <c r="F24" s="23"/>
      <c r="G24" s="23"/>
      <c r="H24" s="23"/>
      <c r="I24" s="23"/>
      <c r="J24" s="23"/>
      <c r="K24" s="23"/>
      <c r="L24" s="23"/>
      <c r="M24" s="23"/>
      <c r="N24" s="23"/>
      <c r="O24" s="26"/>
      <c r="P24" s="21"/>
      <c r="Q24" s="21"/>
      <c r="R24" s="21"/>
      <c r="S24" s="21"/>
      <c r="T24" s="21"/>
    </row>
    <row r="25" spans="1:20" ht="34.5" x14ac:dyDescent="0.25">
      <c r="A25" s="21"/>
      <c r="B25" s="33" t="s">
        <v>76</v>
      </c>
      <c r="C25" s="38" t="s">
        <v>39</v>
      </c>
      <c r="D25" s="38" t="s">
        <v>36</v>
      </c>
      <c r="E25" s="39"/>
      <c r="F25" s="217"/>
      <c r="G25" s="217"/>
      <c r="H25" s="217"/>
      <c r="I25" s="30"/>
      <c r="J25" s="30"/>
      <c r="K25" s="30"/>
      <c r="L25" s="30"/>
      <c r="M25" s="30"/>
      <c r="N25" s="30"/>
      <c r="O25" s="28"/>
      <c r="P25" s="21"/>
      <c r="Q25" s="21"/>
      <c r="R25" s="21"/>
      <c r="S25" s="21"/>
      <c r="T25" s="21"/>
    </row>
    <row r="26" spans="1:20" ht="30" customHeight="1" x14ac:dyDescent="0.25">
      <c r="A26" s="21"/>
      <c r="B26" s="112" t="s">
        <v>34</v>
      </c>
      <c r="C26" s="116" t="s">
        <v>37</v>
      </c>
      <c r="D26" s="116"/>
      <c r="E26" s="117"/>
      <c r="F26" s="217"/>
      <c r="G26" s="217"/>
      <c r="H26" s="217"/>
      <c r="I26" s="30"/>
      <c r="J26" s="30"/>
      <c r="K26" s="30"/>
      <c r="L26" s="30"/>
      <c r="M26" s="30"/>
      <c r="N26" s="30"/>
      <c r="O26" s="28"/>
      <c r="P26" s="21"/>
      <c r="Q26" s="21"/>
      <c r="R26" s="21"/>
      <c r="S26" s="21"/>
      <c r="T26" s="21"/>
    </row>
    <row r="27" spans="1:20" ht="30" customHeight="1" x14ac:dyDescent="0.25">
      <c r="A27" s="21"/>
      <c r="B27" s="33" t="s">
        <v>35</v>
      </c>
      <c r="C27" s="38" t="s">
        <v>38</v>
      </c>
      <c r="D27" s="40"/>
      <c r="E27" s="39"/>
      <c r="F27" s="217"/>
      <c r="G27" s="217"/>
      <c r="H27" s="217"/>
      <c r="I27" s="30"/>
      <c r="J27" s="30"/>
      <c r="K27" s="30"/>
      <c r="L27" s="30"/>
      <c r="M27" s="30"/>
      <c r="N27" s="30"/>
      <c r="O27" s="24"/>
      <c r="P27" s="21"/>
      <c r="Q27" s="21"/>
      <c r="R27" s="21"/>
      <c r="S27" s="21"/>
      <c r="T27" s="21"/>
    </row>
    <row r="28" spans="1:20" ht="24.95" customHeight="1" x14ac:dyDescent="0.25">
      <c r="A28" s="21"/>
      <c r="B28" s="33"/>
      <c r="C28" s="38"/>
      <c r="D28" s="40"/>
      <c r="E28" s="39"/>
      <c r="F28" s="28"/>
      <c r="G28" s="28"/>
      <c r="H28" s="28"/>
      <c r="I28" s="30"/>
      <c r="J28" s="30"/>
      <c r="K28" s="30"/>
      <c r="L28" s="30"/>
      <c r="M28" s="30"/>
      <c r="N28" s="30"/>
      <c r="O28" s="24"/>
      <c r="P28" s="21"/>
      <c r="Q28" s="21"/>
      <c r="R28" s="21"/>
      <c r="S28" s="21"/>
      <c r="T28" s="21"/>
    </row>
    <row r="29" spans="1:20" ht="30" customHeight="1" x14ac:dyDescent="0.25">
      <c r="A29" s="21"/>
      <c r="B29" s="31" t="s">
        <v>3</v>
      </c>
      <c r="C29" s="32" t="s">
        <v>56</v>
      </c>
      <c r="D29" s="32" t="s">
        <v>57</v>
      </c>
      <c r="E29" s="32" t="s">
        <v>58</v>
      </c>
      <c r="F29" s="217"/>
      <c r="G29" s="217"/>
      <c r="H29" s="217"/>
      <c r="I29" s="30"/>
      <c r="J29" s="30"/>
      <c r="K29" s="30"/>
      <c r="L29" s="30"/>
      <c r="M29" s="30"/>
      <c r="N29" s="30"/>
      <c r="O29" s="24"/>
      <c r="P29" s="21"/>
      <c r="Q29" s="21"/>
      <c r="R29" s="21"/>
      <c r="S29" s="21"/>
      <c r="T29" s="21"/>
    </row>
    <row r="30" spans="1:20" ht="51.95" customHeight="1" x14ac:dyDescent="0.25">
      <c r="A30" s="21"/>
      <c r="B30" s="33" t="s">
        <v>41</v>
      </c>
      <c r="C30" s="36" t="s">
        <v>40</v>
      </c>
      <c r="D30" s="39" t="s">
        <v>67</v>
      </c>
      <c r="E30" s="39" t="s">
        <v>90</v>
      </c>
      <c r="F30" s="23"/>
      <c r="G30" s="23"/>
      <c r="H30" s="23"/>
      <c r="I30" s="23"/>
      <c r="J30" s="23"/>
      <c r="K30" s="23"/>
      <c r="L30" s="23"/>
      <c r="M30" s="23"/>
      <c r="N30" s="23"/>
      <c r="O30" s="21"/>
      <c r="P30" s="21"/>
      <c r="Q30" s="21"/>
      <c r="R30" s="21"/>
      <c r="S30" s="21"/>
      <c r="T30" s="21"/>
    </row>
    <row r="31" spans="1:20" ht="51.75" x14ac:dyDescent="0.25">
      <c r="A31" s="21"/>
      <c r="B31" s="112" t="s">
        <v>46</v>
      </c>
      <c r="C31" s="113" t="s">
        <v>59</v>
      </c>
      <c r="D31" s="116" t="s">
        <v>68</v>
      </c>
      <c r="E31" s="117" t="s">
        <v>69</v>
      </c>
      <c r="F31" s="23"/>
      <c r="G31" s="23"/>
      <c r="H31" s="23"/>
      <c r="I31" s="23"/>
      <c r="J31" s="23"/>
      <c r="K31" s="23"/>
      <c r="L31" s="23"/>
      <c r="M31" s="23"/>
      <c r="N31" s="23"/>
      <c r="O31" s="21"/>
      <c r="P31" s="21"/>
      <c r="Q31" s="21"/>
      <c r="R31" s="21"/>
      <c r="S31" s="21"/>
      <c r="T31" s="21"/>
    </row>
    <row r="32" spans="1:20" ht="51.75" x14ac:dyDescent="0.25">
      <c r="A32" s="21"/>
      <c r="B32" s="33" t="s">
        <v>42</v>
      </c>
      <c r="C32" s="36" t="s">
        <v>43</v>
      </c>
      <c r="D32" s="36" t="s">
        <v>44</v>
      </c>
      <c r="E32" s="39"/>
      <c r="F32" s="23"/>
      <c r="G32" s="23"/>
      <c r="H32" s="23"/>
      <c r="I32" s="23"/>
      <c r="J32" s="23"/>
      <c r="K32" s="23"/>
      <c r="L32" s="23"/>
      <c r="M32" s="23"/>
      <c r="N32" s="23"/>
      <c r="O32" s="21"/>
      <c r="P32" s="21"/>
      <c r="Q32" s="21"/>
      <c r="R32" s="21"/>
      <c r="S32" s="21"/>
      <c r="T32" s="21"/>
    </row>
    <row r="33" spans="1:20" ht="51.95" customHeight="1" x14ac:dyDescent="0.25">
      <c r="A33" s="21"/>
      <c r="B33" s="112" t="s">
        <v>3</v>
      </c>
      <c r="C33" s="113" t="s">
        <v>45</v>
      </c>
      <c r="D33" s="117"/>
      <c r="E33" s="117"/>
      <c r="F33" s="23"/>
      <c r="G33" s="23"/>
      <c r="H33" s="23"/>
      <c r="I33" s="23"/>
      <c r="J33" s="23"/>
      <c r="K33" s="23"/>
      <c r="L33" s="23"/>
      <c r="M33" s="23"/>
      <c r="N33" s="23"/>
      <c r="O33" s="21"/>
      <c r="P33" s="21"/>
      <c r="Q33" s="21"/>
      <c r="R33" s="21"/>
      <c r="S33" s="21"/>
      <c r="T33" s="21"/>
    </row>
    <row r="34" spans="1:20" ht="26.1" hidden="1" customHeight="1" x14ac:dyDescent="0.25">
      <c r="A34" s="21"/>
      <c r="B34" s="41"/>
      <c r="C34" s="42"/>
      <c r="D34" s="42"/>
      <c r="E34" s="42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</row>
    <row r="35" spans="1:20" ht="26.1" hidden="1" customHeight="1" x14ac:dyDescent="0.25">
      <c r="A35" s="21"/>
      <c r="B35" s="41"/>
      <c r="C35" s="42"/>
      <c r="D35" s="42"/>
      <c r="E35" s="42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</row>
    <row r="36" spans="1:20" ht="26.1" hidden="1" customHeight="1" x14ac:dyDescent="0.25">
      <c r="A36" s="21"/>
      <c r="B36" s="43"/>
      <c r="C36" s="42"/>
      <c r="D36" s="42"/>
      <c r="E36" s="42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</row>
    <row r="37" spans="1:20" ht="26.1" hidden="1" customHeight="1" x14ac:dyDescent="0.25">
      <c r="A37" s="21"/>
      <c r="B37" s="43"/>
      <c r="C37" s="42"/>
      <c r="D37" s="42"/>
      <c r="E37" s="42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</row>
    <row r="38" spans="1:20" ht="26.1" hidden="1" customHeight="1" x14ac:dyDescent="0.25">
      <c r="A38" s="21"/>
      <c r="B38" s="43"/>
      <c r="C38" s="42"/>
      <c r="D38" s="42"/>
      <c r="E38" s="42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</row>
    <row r="39" spans="1:20" hidden="1" x14ac:dyDescent="0.25">
      <c r="A39" s="21"/>
      <c r="B39" s="43"/>
      <c r="C39" s="42"/>
      <c r="D39" s="42"/>
      <c r="E39" s="42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</row>
    <row r="40" spans="1:20" hidden="1" x14ac:dyDescent="0.25">
      <c r="A40" s="21"/>
      <c r="B40" s="43"/>
      <c r="C40" s="42"/>
      <c r="D40" s="42"/>
      <c r="E40" s="42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</row>
    <row r="41" spans="1:20" hidden="1" x14ac:dyDescent="0.25">
      <c r="A41" s="21"/>
      <c r="B41" s="43"/>
      <c r="C41" s="42"/>
      <c r="D41" s="42"/>
      <c r="E41" s="42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</row>
    <row r="42" spans="1:20" hidden="1" x14ac:dyDescent="0.25">
      <c r="A42" s="21"/>
      <c r="B42" s="43"/>
      <c r="C42" s="42"/>
      <c r="D42" s="42"/>
      <c r="E42" s="42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</row>
    <row r="43" spans="1:20" hidden="1" x14ac:dyDescent="0.25">
      <c r="A43" s="21"/>
      <c r="B43" s="43"/>
      <c r="C43" s="42"/>
      <c r="D43" s="42"/>
      <c r="E43" s="42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</row>
    <row r="44" spans="1:20" hidden="1" x14ac:dyDescent="0.25">
      <c r="A44" s="21"/>
      <c r="B44" s="43"/>
      <c r="C44" s="42"/>
      <c r="D44" s="42"/>
      <c r="E44" s="42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</row>
    <row r="45" spans="1:20" hidden="1" x14ac:dyDescent="0.25">
      <c r="A45" s="21"/>
      <c r="B45" s="43"/>
      <c r="C45" s="42"/>
      <c r="D45" s="42"/>
      <c r="E45" s="42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</row>
    <row r="46" spans="1:20" hidden="1" x14ac:dyDescent="0.25">
      <c r="A46" s="21"/>
      <c r="B46" s="43"/>
      <c r="C46" s="42"/>
      <c r="D46" s="42"/>
      <c r="E46" s="42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</row>
    <row r="47" spans="1:20" hidden="1" x14ac:dyDescent="0.25">
      <c r="A47" s="21"/>
      <c r="B47" s="43"/>
      <c r="C47" s="42"/>
      <c r="D47" s="42"/>
      <c r="E47" s="42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</row>
    <row r="48" spans="1:20" hidden="1" x14ac:dyDescent="0.25">
      <c r="A48" s="21"/>
      <c r="B48" s="43"/>
      <c r="C48" s="42"/>
      <c r="D48" s="42"/>
      <c r="E48" s="42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</row>
    <row r="49" spans="1:20" hidden="1" x14ac:dyDescent="0.25">
      <c r="A49" s="21"/>
      <c r="B49" s="43"/>
      <c r="C49" s="42"/>
      <c r="D49" s="42"/>
      <c r="E49" s="42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</row>
    <row r="50" spans="1:20" hidden="1" x14ac:dyDescent="0.25">
      <c r="A50" s="21"/>
      <c r="B50" s="43"/>
      <c r="C50" s="42"/>
      <c r="D50" s="42"/>
      <c r="E50" s="42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</row>
    <row r="51" spans="1:20" hidden="1" x14ac:dyDescent="0.25">
      <c r="A51" s="21"/>
      <c r="B51" s="43"/>
      <c r="C51" s="42"/>
      <c r="D51" s="42"/>
      <c r="E51" s="42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</row>
    <row r="52" spans="1:20" hidden="1" x14ac:dyDescent="0.25">
      <c r="A52" s="21"/>
      <c r="B52" s="43"/>
      <c r="C52" s="42"/>
      <c r="D52" s="42"/>
      <c r="E52" s="42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</row>
    <row r="53" spans="1:20" hidden="1" x14ac:dyDescent="0.25">
      <c r="A53" s="21"/>
      <c r="B53" s="43"/>
      <c r="C53" s="42"/>
      <c r="D53" s="42"/>
      <c r="E53" s="42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</row>
    <row r="54" spans="1:20" hidden="1" x14ac:dyDescent="0.25">
      <c r="A54" s="21"/>
      <c r="B54" s="43"/>
      <c r="C54" s="42"/>
      <c r="D54" s="42"/>
      <c r="E54" s="42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</row>
    <row r="55" spans="1:20" hidden="1" x14ac:dyDescent="0.25">
      <c r="B55" s="44"/>
      <c r="C55" s="45"/>
      <c r="D55" s="45"/>
      <c r="E55" s="45"/>
      <c r="I55" s="21"/>
    </row>
    <row r="56" spans="1:20" hidden="1" x14ac:dyDescent="0.25">
      <c r="B56" s="44"/>
      <c r="C56" s="45"/>
      <c r="D56" s="45"/>
      <c r="E56" s="45"/>
    </row>
    <row r="57" spans="1:20" hidden="1" x14ac:dyDescent="0.25">
      <c r="B57" s="44"/>
      <c r="C57" s="45"/>
      <c r="D57" s="45"/>
      <c r="E57" s="45"/>
    </row>
    <row r="58" spans="1:20" hidden="1" x14ac:dyDescent="0.25">
      <c r="B58" s="44"/>
      <c r="C58" s="45"/>
      <c r="D58" s="45"/>
      <c r="E58" s="45"/>
    </row>
    <row r="59" spans="1:20" hidden="1" x14ac:dyDescent="0.25">
      <c r="B59" s="44"/>
      <c r="C59" s="45"/>
      <c r="D59" s="45"/>
      <c r="E59" s="45"/>
    </row>
    <row r="60" spans="1:20" hidden="1" x14ac:dyDescent="0.25">
      <c r="B60" s="44"/>
      <c r="C60" s="45"/>
      <c r="D60" s="45"/>
      <c r="E60" s="45"/>
    </row>
    <row r="61" spans="1:20" hidden="1" x14ac:dyDescent="0.25">
      <c r="B61" s="44"/>
      <c r="C61" s="45"/>
      <c r="D61" s="45"/>
      <c r="E61" s="45"/>
    </row>
    <row r="62" spans="1:20" hidden="1" x14ac:dyDescent="0.25">
      <c r="B62" s="44"/>
      <c r="C62" s="45"/>
      <c r="D62" s="45"/>
      <c r="E62" s="45"/>
    </row>
    <row r="63" spans="1:20" hidden="1" x14ac:dyDescent="0.25">
      <c r="B63" s="44"/>
      <c r="C63" s="45"/>
      <c r="D63" s="45"/>
      <c r="E63" s="45"/>
    </row>
    <row r="64" spans="1:20" hidden="1" x14ac:dyDescent="0.25">
      <c r="B64" s="44"/>
      <c r="C64" s="45"/>
      <c r="D64" s="45"/>
      <c r="E64" s="45"/>
    </row>
    <row r="65" x14ac:dyDescent="0.25"/>
  </sheetData>
  <mergeCells count="4">
    <mergeCell ref="F27:H27"/>
    <mergeCell ref="F29:H29"/>
    <mergeCell ref="F25:H25"/>
    <mergeCell ref="F26:H26"/>
  </mergeCells>
  <pageMargins left="0.7" right="0.7" top="0.75" bottom="0.75" header="0.3" footer="0.3"/>
  <pageSetup paperSize="9" orientation="portrait" horizontalDpi="1200" verticalDpi="120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41EDC-2E42-4F91-A115-07FD192CF777}">
  <dimension ref="A3:P29"/>
  <sheetViews>
    <sheetView showGridLines="0" workbookViewId="0">
      <selection activeCell="A29" sqref="A29"/>
    </sheetView>
  </sheetViews>
  <sheetFormatPr baseColWidth="10" defaultRowHeight="15" x14ac:dyDescent="0.25"/>
  <cols>
    <col min="1" max="1" width="38.42578125" bestFit="1" customWidth="1"/>
    <col min="2" max="12" width="11.42578125" style="135"/>
  </cols>
  <sheetData>
    <row r="3" spans="1:12" x14ac:dyDescent="0.25">
      <c r="A3" s="68" t="s">
        <v>60</v>
      </c>
      <c r="B3" s="134" t="str">
        <f>'1.IS'!L2</f>
        <v/>
      </c>
      <c r="C3" s="134" t="str">
        <f>'1.IS'!M2</f>
        <v/>
      </c>
      <c r="D3" s="134" t="str">
        <f>'1.IS'!N2</f>
        <v/>
      </c>
      <c r="E3" s="134" t="str">
        <f>'1.IS'!O2</f>
        <v/>
      </c>
      <c r="F3" s="134" t="str">
        <f>'1.IS'!P2</f>
        <v/>
      </c>
      <c r="G3" s="138"/>
      <c r="H3" s="138"/>
      <c r="I3" s="138"/>
      <c r="J3" s="138"/>
      <c r="K3" s="138"/>
    </row>
    <row r="4" spans="1:12" x14ac:dyDescent="0.25">
      <c r="A4" s="15" t="s">
        <v>78</v>
      </c>
      <c r="B4" s="139">
        <f>'4.Valoración'!$D$7</f>
        <v>0</v>
      </c>
      <c r="C4" s="139">
        <f>'4.Valoración'!$D$7</f>
        <v>0</v>
      </c>
      <c r="D4" s="139">
        <f>'4.Valoración'!$D$7</f>
        <v>0</v>
      </c>
      <c r="E4" s="139">
        <f>'4.Valoración'!$D$7</f>
        <v>0</v>
      </c>
      <c r="F4" s="139">
        <f>'4.Valoración'!$D$7</f>
        <v>0</v>
      </c>
    </row>
    <row r="6" spans="1:12" x14ac:dyDescent="0.25">
      <c r="B6" s="141"/>
    </row>
    <row r="7" spans="1:12" x14ac:dyDescent="0.25">
      <c r="A7" s="68" t="s">
        <v>81</v>
      </c>
      <c r="B7" s="134" t="str">
        <f>'1.IS'!B2</f>
        <v/>
      </c>
      <c r="C7" s="134" t="str">
        <f>'1.IS'!C2</f>
        <v/>
      </c>
      <c r="D7" s="134" t="str">
        <f>'1.IS'!D2</f>
        <v/>
      </c>
      <c r="E7" s="134" t="str">
        <f>'1.IS'!E2</f>
        <v/>
      </c>
      <c r="F7" s="134" t="str">
        <f>'1.IS'!F2</f>
        <v/>
      </c>
      <c r="G7" s="134" t="str">
        <f>'1.IS'!G2</f>
        <v/>
      </c>
      <c r="H7" s="134" t="str">
        <f>'1.IS'!H2</f>
        <v/>
      </c>
      <c r="I7" s="134" t="str">
        <f>'1.IS'!I2</f>
        <v/>
      </c>
      <c r="J7" s="134" t="str">
        <f>'1.IS'!J2</f>
        <v/>
      </c>
      <c r="K7" s="134" t="str">
        <f>'1.IS'!K2</f>
        <v/>
      </c>
      <c r="L7" s="148" t="s">
        <v>85</v>
      </c>
    </row>
    <row r="8" spans="1:12" x14ac:dyDescent="0.25">
      <c r="A8" t="s">
        <v>83</v>
      </c>
      <c r="B8" s="135" t="str">
        <f>IFERROR(ABS(VLOOKUP("Common &amp; Preferred Stock Dividends Paid*",'9.TIKR_CF'!$A:$K,COLUMN(B8),FALSE)),"0")</f>
        <v>0</v>
      </c>
      <c r="C8" s="135" t="str">
        <f>IFERROR(ABS(VLOOKUP("Common &amp; Preferred Stock Dividends Paid*",'9.TIKR_CF'!$A:$K,COLUMN(C8),FALSE)),"0")</f>
        <v>0</v>
      </c>
      <c r="D8" s="135" t="str">
        <f>IFERROR(ABS(VLOOKUP("Common &amp; Preferred Stock Dividends Paid*",'9.TIKR_CF'!$A:$K,COLUMN(D8),FALSE)),"0")</f>
        <v>0</v>
      </c>
      <c r="E8" s="135" t="str">
        <f>IFERROR(ABS(VLOOKUP("Common &amp; Preferred Stock Dividends Paid*",'9.TIKR_CF'!$A:$K,COLUMN(E8),FALSE)),"0")</f>
        <v>0</v>
      </c>
      <c r="F8" s="135" t="str">
        <f>IFERROR(ABS(VLOOKUP("Common &amp; Preferred Stock Dividends Paid*",'9.TIKR_CF'!$A:$K,COLUMN(F8),FALSE)),"0")</f>
        <v>0</v>
      </c>
      <c r="G8" s="135" t="str">
        <f>IFERROR(ABS(VLOOKUP("Common &amp; Preferred Stock Dividends Paid*",'9.TIKR_CF'!$A:$K,COLUMN(G8),FALSE)),"0")</f>
        <v>0</v>
      </c>
      <c r="H8" s="135" t="str">
        <f>IFERROR(ABS(VLOOKUP("Common &amp; Preferred Stock Dividends Paid*",'9.TIKR_CF'!$A:$K,COLUMN(H8),FALSE)),"0")</f>
        <v>0</v>
      </c>
      <c r="I8" s="135" t="str">
        <f>IFERROR(ABS(VLOOKUP("Common &amp; Preferred Stock Dividends Paid*",'9.TIKR_CF'!$A:$K,COLUMN(I8),FALSE)),"0")</f>
        <v>0</v>
      </c>
      <c r="J8" s="135" t="str">
        <f>IFERROR(ABS(VLOOKUP("Common &amp; Preferred Stock Dividends Paid*",'9.TIKR_CF'!$A:$K,COLUMN(J8),FALSE)),"0")</f>
        <v>0</v>
      </c>
      <c r="K8" s="135" t="str">
        <f>IFERROR(ABS(VLOOKUP("Common &amp; Preferred Stock Dividends Paid*",'9.TIKR_CF'!$A:$K,COLUMN(K8),FALSE)),"0")</f>
        <v>0</v>
      </c>
      <c r="L8" s="149">
        <f>SUM(B8:K8)</f>
        <v>0</v>
      </c>
    </row>
    <row r="9" spans="1:12" x14ac:dyDescent="0.25">
      <c r="A9" t="s">
        <v>82</v>
      </c>
      <c r="B9" s="135" t="str">
        <f>IFERROR(ABS(VLOOKUP("Repurchase of Common Stock*",'9.TIKR_CF'!$A:$K,COLUMN(B9),FALSE)),"0")</f>
        <v>0</v>
      </c>
      <c r="C9" s="135" t="str">
        <f>IFERROR(ABS(VLOOKUP("Repurchase of Common Stock*",'9.TIKR_CF'!$A:$K,COLUMN(C9),FALSE)),"0")</f>
        <v>0</v>
      </c>
      <c r="D9" s="135" t="str">
        <f>IFERROR(ABS(VLOOKUP("Repurchase of Common Stock*",'9.TIKR_CF'!$A:$K,COLUMN(D9),FALSE)),"0")</f>
        <v>0</v>
      </c>
      <c r="E9" s="135" t="str">
        <f>IFERROR(ABS(VLOOKUP("Repurchase of Common Stock*",'9.TIKR_CF'!$A:$K,COLUMN(E9),FALSE)),"0")</f>
        <v>0</v>
      </c>
      <c r="F9" s="135" t="str">
        <f>IFERROR(ABS(VLOOKUP("Repurchase of Common Stock*",'9.TIKR_CF'!$A:$K,COLUMN(F9),FALSE)),"0")</f>
        <v>0</v>
      </c>
      <c r="G9" s="135" t="str">
        <f>IFERROR(ABS(VLOOKUP("Repurchase of Common Stock*",'9.TIKR_CF'!$A:$K,COLUMN(G9),FALSE)),"0")</f>
        <v>0</v>
      </c>
      <c r="H9" s="135" t="str">
        <f>IFERROR(ABS(VLOOKUP("Repurchase of Common Stock*",'9.TIKR_CF'!$A:$K,COLUMN(H9),FALSE)),"0")</f>
        <v>0</v>
      </c>
      <c r="I9" s="135" t="str">
        <f>IFERROR(ABS(VLOOKUP("Repurchase of Common Stock*",'9.TIKR_CF'!$A:$K,COLUMN(I9),FALSE)),"0")</f>
        <v>0</v>
      </c>
      <c r="J9" s="135" t="str">
        <f>IFERROR(ABS(VLOOKUP("Repurchase of Common Stock*",'9.TIKR_CF'!$A:$K,COLUMN(J9),FALSE)),"0")</f>
        <v>0</v>
      </c>
      <c r="K9" s="135" t="str">
        <f>IFERROR(ABS(VLOOKUP("Repurchase of Common Stock*",'9.TIKR_CF'!$A:$K,COLUMN(K9),FALSE)),"0")</f>
        <v>0</v>
      </c>
      <c r="L9" s="149">
        <f>SUM(B9:K9)</f>
        <v>0</v>
      </c>
    </row>
    <row r="10" spans="1:12" x14ac:dyDescent="0.25">
      <c r="A10" t="s">
        <v>97</v>
      </c>
      <c r="B10" s="137">
        <f>ABS(IFERROR(VLOOKUP("Cash Acquisitions*",'9.TIKR_CF'!$A:$K,COLUMN(B10),FALSE),"0"))</f>
        <v>0</v>
      </c>
      <c r="C10" s="137">
        <f>ABS(IFERROR(VLOOKUP("Cash Acquisitions*",'9.TIKR_CF'!$A:$K,COLUMN(C10),FALSE),"0"))</f>
        <v>0</v>
      </c>
      <c r="D10" s="137">
        <f>ABS(IFERROR(VLOOKUP("Cash Acquisitions*",'9.TIKR_CF'!$A:$K,COLUMN(D10),FALSE),"0"))</f>
        <v>0</v>
      </c>
      <c r="E10" s="137">
        <f>ABS(IFERROR(VLOOKUP("Cash Acquisitions*",'9.TIKR_CF'!$A:$K,COLUMN(E10),FALSE),"0"))</f>
        <v>0</v>
      </c>
      <c r="F10" s="137">
        <f>ABS(IFERROR(VLOOKUP("Cash Acquisitions*",'9.TIKR_CF'!$A:$K,COLUMN(F10),FALSE),"0"))</f>
        <v>0</v>
      </c>
      <c r="G10" s="137">
        <f>ABS(IFERROR(VLOOKUP("Cash Acquisitions*",'9.TIKR_CF'!$A:$K,COLUMN(G10),FALSE),"0"))</f>
        <v>0</v>
      </c>
      <c r="H10" s="137">
        <f>ABS(IFERROR(VLOOKUP("Cash Acquisitions*",'9.TIKR_CF'!$A:$K,COLUMN(H10),FALSE),"0"))</f>
        <v>0</v>
      </c>
      <c r="I10" s="137">
        <f>ABS(IFERROR(VLOOKUP("Cash Acquisitions*",'9.TIKR_CF'!$A:$K,COLUMN(I10),FALSE),"0"))</f>
        <v>0</v>
      </c>
      <c r="J10" s="137">
        <f>ABS(IFERROR(VLOOKUP("Cash Acquisitions*",'9.TIKR_CF'!$A:$K,COLUMN(J10),FALSE),"0"))</f>
        <v>0</v>
      </c>
      <c r="K10" s="137">
        <f>ABS(IFERROR(VLOOKUP("Cash Acquisitions*",'9.TIKR_CF'!$A:$K,COLUMN(K10),FALSE),"0"))</f>
        <v>0</v>
      </c>
      <c r="L10" s="149">
        <f>SUM(B10:K10)</f>
        <v>0</v>
      </c>
    </row>
    <row r="11" spans="1:12" x14ac:dyDescent="0.25">
      <c r="A11" t="s">
        <v>92</v>
      </c>
      <c r="B11" s="135">
        <f>IFERROR(ABS(VLOOKUP("Total Debt Repaid*",'9.TIKR_CF'!$A:$K,COLUMN(B11),FALSE))-VLOOKUP("Total Debt Issued*",'9.TIKR_CF'!$A:$K,COLUMN(B11),FALSE),0)</f>
        <v>0</v>
      </c>
      <c r="C11" s="135">
        <f>IFERROR(ABS(VLOOKUP("Total Debt Repaid*",'9.TIKR_CF'!$A:$K,COLUMN(C11),FALSE))-VLOOKUP("Total Debt Issued*",'9.TIKR_CF'!$A:$K,COLUMN(C11),FALSE),0)</f>
        <v>0</v>
      </c>
      <c r="D11" s="135">
        <f>IFERROR(ABS(VLOOKUP("Total Debt Repaid*",'9.TIKR_CF'!$A:$K,COLUMN(D11),FALSE))-VLOOKUP("Total Debt Issued*",'9.TIKR_CF'!$A:$K,COLUMN(D11),FALSE),0)</f>
        <v>0</v>
      </c>
      <c r="E11" s="135">
        <f>IFERROR(ABS(VLOOKUP("Total Debt Repaid*",'9.TIKR_CF'!$A:$K,COLUMN(E11),FALSE))-VLOOKUP("Total Debt Issued*",'9.TIKR_CF'!$A:$K,COLUMN(E11),FALSE),0)</f>
        <v>0</v>
      </c>
      <c r="F11" s="135">
        <f>IFERROR(ABS(VLOOKUP("Total Debt Repaid*",'9.TIKR_CF'!$A:$K,COLUMN(F11),FALSE))-VLOOKUP("Total Debt Issued*",'9.TIKR_CF'!$A:$K,COLUMN(F11),FALSE),0)</f>
        <v>0</v>
      </c>
      <c r="G11" s="135">
        <f>IFERROR(ABS(VLOOKUP("Total Debt Repaid*",'9.TIKR_CF'!$A:$K,COLUMN(G11),FALSE))-VLOOKUP("Total Debt Issued*",'9.TIKR_CF'!$A:$K,COLUMN(G11),FALSE),0)</f>
        <v>0</v>
      </c>
      <c r="H11" s="135">
        <f>IFERROR(ABS(VLOOKUP("Total Debt Repaid*",'9.TIKR_CF'!$A:$K,COLUMN(H11),FALSE))-VLOOKUP("Total Debt Issued*",'9.TIKR_CF'!$A:$K,COLUMN(H11),FALSE),0)</f>
        <v>0</v>
      </c>
      <c r="I11" s="135">
        <f>IFERROR(ABS(VLOOKUP("Total Debt Repaid*",'9.TIKR_CF'!$A:$K,COLUMN(I11),FALSE))-VLOOKUP("Total Debt Issued*",'9.TIKR_CF'!$A:$K,COLUMN(I11),FALSE),0)</f>
        <v>0</v>
      </c>
      <c r="J11" s="135">
        <f>IFERROR(ABS(VLOOKUP("Total Debt Repaid*",'9.TIKR_CF'!$A:$K,COLUMN(J11),FALSE))-VLOOKUP("Total Debt Issued*",'9.TIKR_CF'!$A:$K,COLUMN(J11),FALSE),0)</f>
        <v>0</v>
      </c>
      <c r="K11" s="135">
        <f>IFERROR(ABS(VLOOKUP("Total Debt Repaid*",'9.TIKR_CF'!$A:$K,COLUMN(K11),FALSE))-VLOOKUP("Total Debt Issued*",'9.TIKR_CF'!$A:$K,COLUMN(K11),FALSE),0)</f>
        <v>0</v>
      </c>
      <c r="L11" s="149">
        <f>SUM(B11:K11)</f>
        <v>0</v>
      </c>
    </row>
    <row r="13" spans="1:12" x14ac:dyDescent="0.25">
      <c r="A13" s="65" t="s">
        <v>71</v>
      </c>
    </row>
    <row r="14" spans="1:12" x14ac:dyDescent="0.25">
      <c r="A14" s="68"/>
      <c r="B14" s="134" t="str">
        <f>'1.IS'!C$2</f>
        <v/>
      </c>
      <c r="C14" s="134" t="str">
        <f>'1.IS'!D$2</f>
        <v/>
      </c>
      <c r="D14" s="134" t="str">
        <f>'1.IS'!E$2</f>
        <v/>
      </c>
      <c r="E14" s="134" t="str">
        <f>'1.IS'!F$2</f>
        <v/>
      </c>
      <c r="F14" s="134" t="str">
        <f>'1.IS'!G$2</f>
        <v/>
      </c>
      <c r="G14" s="134" t="str">
        <f>'1.IS'!H$2</f>
        <v/>
      </c>
      <c r="H14" s="134" t="str">
        <f>'1.IS'!I$2</f>
        <v/>
      </c>
      <c r="I14" s="134" t="str">
        <f>'1.IS'!J$2</f>
        <v/>
      </c>
      <c r="J14" s="134" t="str">
        <f>'1.IS'!K$2</f>
        <v/>
      </c>
      <c r="K14" s="134"/>
      <c r="L14" s="140"/>
    </row>
    <row r="15" spans="1:12" x14ac:dyDescent="0.25">
      <c r="A15" s="106" t="s">
        <v>72</v>
      </c>
      <c r="B15" s="142" t="str">
        <f>'1.IS'!C4</f>
        <v/>
      </c>
      <c r="C15" s="142" t="str">
        <f>'1.IS'!D4</f>
        <v/>
      </c>
      <c r="D15" s="142" t="str">
        <f>'1.IS'!E4</f>
        <v/>
      </c>
      <c r="E15" s="142" t="str">
        <f>'1.IS'!F4</f>
        <v/>
      </c>
      <c r="F15" s="142" t="str">
        <f>'1.IS'!G4</f>
        <v/>
      </c>
      <c r="G15" s="142" t="str">
        <f>'1.IS'!H4</f>
        <v/>
      </c>
      <c r="H15" s="142" t="str">
        <f>'1.IS'!I4</f>
        <v/>
      </c>
      <c r="I15" s="142" t="str">
        <f>'1.IS'!J4</f>
        <v/>
      </c>
      <c r="J15" s="142" t="str">
        <f>'1.IS'!K4</f>
        <v/>
      </c>
      <c r="L15" s="142"/>
    </row>
    <row r="16" spans="1:12" x14ac:dyDescent="0.25">
      <c r="A16" s="106" t="s">
        <v>8</v>
      </c>
      <c r="B16" s="142"/>
      <c r="C16" s="142"/>
      <c r="D16" s="142"/>
      <c r="E16" s="142"/>
      <c r="F16" s="142"/>
      <c r="G16" s="142"/>
      <c r="H16" s="142"/>
      <c r="I16" s="142"/>
      <c r="J16" s="142"/>
      <c r="L16" s="142"/>
    </row>
    <row r="17" spans="1:16" x14ac:dyDescent="0.25">
      <c r="A17" s="2"/>
      <c r="B17" s="143"/>
      <c r="C17" s="143"/>
      <c r="D17" s="143"/>
      <c r="E17" s="143"/>
      <c r="F17" s="143"/>
      <c r="G17" s="143"/>
      <c r="H17" s="143"/>
      <c r="I17" s="143"/>
    </row>
    <row r="19" spans="1:16" x14ac:dyDescent="0.25">
      <c r="A19" s="68" t="s">
        <v>99</v>
      </c>
      <c r="B19" s="140" t="str">
        <f>'1.IS'!B2</f>
        <v/>
      </c>
      <c r="C19" s="140" t="str">
        <f>'1.IS'!C2</f>
        <v/>
      </c>
      <c r="D19" s="140" t="str">
        <f>'1.IS'!D2</f>
        <v/>
      </c>
      <c r="E19" s="140" t="str">
        <f>'1.IS'!E2</f>
        <v/>
      </c>
      <c r="F19" s="140" t="str">
        <f>'1.IS'!F2</f>
        <v/>
      </c>
      <c r="G19" s="140" t="str">
        <f>'1.IS'!G2</f>
        <v/>
      </c>
      <c r="H19" s="140" t="str">
        <f>'1.IS'!H2</f>
        <v/>
      </c>
      <c r="I19" s="140" t="str">
        <f>'1.IS'!I2</f>
        <v/>
      </c>
      <c r="J19" s="140" t="str">
        <f>'1.IS'!J2</f>
        <v/>
      </c>
      <c r="K19" s="140" t="str">
        <f>'1.IS'!K2</f>
        <v/>
      </c>
      <c r="L19" s="148" t="s">
        <v>84</v>
      </c>
    </row>
    <row r="20" spans="1:16" x14ac:dyDescent="0.25">
      <c r="A20" s="106" t="s">
        <v>100</v>
      </c>
      <c r="C20" s="135">
        <f>IF('1.IS'!C4&lt;0,1,0)</f>
        <v>0</v>
      </c>
      <c r="D20" s="135">
        <f>IF('1.IS'!D4&lt;0,1,0)</f>
        <v>0</v>
      </c>
      <c r="E20" s="135">
        <f>IF('1.IS'!E4&lt;0,1,0)</f>
        <v>0</v>
      </c>
      <c r="F20" s="135">
        <f>IF('1.IS'!F4&lt;0,1,0)</f>
        <v>0</v>
      </c>
      <c r="G20" s="135">
        <f>IF('1.IS'!G4&lt;0,1,0)</f>
        <v>0</v>
      </c>
      <c r="H20" s="135">
        <f>IF('1.IS'!H4&lt;0,1,0)</f>
        <v>0</v>
      </c>
      <c r="I20" s="135">
        <f>IF('1.IS'!I4&lt;0,1,0)</f>
        <v>0</v>
      </c>
      <c r="J20" s="135">
        <f>IF('1.IS'!J4&lt;0,1,0)</f>
        <v>0</v>
      </c>
      <c r="K20" s="135">
        <f>IF('1.IS'!K4&lt;0,1,0)</f>
        <v>0</v>
      </c>
      <c r="L20" s="150">
        <f>SUM(B20:K20)</f>
        <v>0</v>
      </c>
    </row>
    <row r="21" spans="1:16" x14ac:dyDescent="0.25">
      <c r="A21" s="106" t="s">
        <v>124</v>
      </c>
      <c r="C21" s="135">
        <f>IF('1.IS'!C6&lt;'1.IS'!B6,1,0)</f>
        <v>0</v>
      </c>
      <c r="D21" s="135">
        <f>IF('1.IS'!D6&lt;'1.IS'!C6,1,0)</f>
        <v>0</v>
      </c>
      <c r="E21" s="135">
        <f>IF('1.IS'!E6&lt;'1.IS'!D6,1,0)</f>
        <v>0</v>
      </c>
      <c r="F21" s="135">
        <f>IF('1.IS'!F6&lt;'1.IS'!E6,1,0)</f>
        <v>0</v>
      </c>
      <c r="G21" s="135">
        <f>IF('1.IS'!G6&lt;'1.IS'!F6,1,0)</f>
        <v>0</v>
      </c>
      <c r="H21" s="135">
        <f>IF('1.IS'!H6&lt;'1.IS'!G6,1,0)</f>
        <v>0</v>
      </c>
      <c r="I21" s="135">
        <f>IF('1.IS'!I6&lt;'1.IS'!H6,1,0)</f>
        <v>0</v>
      </c>
      <c r="J21" s="135">
        <f>IF('1.IS'!J6&lt;'1.IS'!I6,1,0)</f>
        <v>0</v>
      </c>
      <c r="K21" s="135">
        <f>IF('1.IS'!K6&lt;'1.IS'!J6,1,0)</f>
        <v>0</v>
      </c>
      <c r="L21" s="150">
        <f>SUM(B21:K21)</f>
        <v>0</v>
      </c>
    </row>
    <row r="22" spans="1:16" x14ac:dyDescent="0.25">
      <c r="A22" s="106" t="s">
        <v>120</v>
      </c>
      <c r="B22" s="135">
        <f>IF('1.IS'!B9&lt;0,1,0)</f>
        <v>0</v>
      </c>
      <c r="C22" s="135">
        <f>IF('1.IS'!C9&lt;0,1,0)</f>
        <v>0</v>
      </c>
      <c r="D22" s="135">
        <f>IF('1.IS'!D9&lt;0,1,0)</f>
        <v>0</v>
      </c>
      <c r="E22" s="135">
        <f>IF('1.IS'!E9&lt;0,1,0)</f>
        <v>0</v>
      </c>
      <c r="F22" s="135">
        <f>IF('1.IS'!F9&lt;0,1,0)</f>
        <v>0</v>
      </c>
      <c r="G22" s="135">
        <f>IF('1.IS'!G9&lt;0,1,0)</f>
        <v>0</v>
      </c>
      <c r="H22" s="135">
        <f>IF('1.IS'!H9&lt;0,1,0)</f>
        <v>0</v>
      </c>
      <c r="I22" s="135">
        <f>IF('1.IS'!I9&lt;0,1,0)</f>
        <v>0</v>
      </c>
      <c r="J22" s="135">
        <f>IF('1.IS'!J9&lt;0,1,0)</f>
        <v>0</v>
      </c>
      <c r="K22" s="135">
        <f>IF('1.IS'!K9&lt;0,1,0)</f>
        <v>0</v>
      </c>
      <c r="L22" s="150">
        <f>SUM(B22:K22)</f>
        <v>0</v>
      </c>
    </row>
    <row r="23" spans="1:16" x14ac:dyDescent="0.25">
      <c r="A23" s="106" t="s">
        <v>121</v>
      </c>
      <c r="B23" s="135">
        <f>IF('1.IS'!B18&lt;10%,1,0)</f>
        <v>0</v>
      </c>
      <c r="C23" s="135">
        <f>IF('1.IS'!C18&lt;10%,1,0)</f>
        <v>0</v>
      </c>
      <c r="D23" s="135">
        <f>IF('1.IS'!D18&lt;10%,1,0)</f>
        <v>0</v>
      </c>
      <c r="E23" s="135">
        <f>IF('1.IS'!E18&lt;10%,1,0)</f>
        <v>0</v>
      </c>
      <c r="F23" s="135">
        <f>IF('1.IS'!F18&lt;10%,1,0)</f>
        <v>0</v>
      </c>
      <c r="G23" s="135">
        <f>IF('1.IS'!G18&lt;10%,1,0)</f>
        <v>0</v>
      </c>
      <c r="H23" s="135">
        <f>IF('1.IS'!H18&lt;10%,1,0)</f>
        <v>0</v>
      </c>
      <c r="I23" s="135">
        <f>IF('1.IS'!I18&lt;10%,1,0)</f>
        <v>0</v>
      </c>
      <c r="J23" s="135">
        <f>IF('1.IS'!J18&lt;10%,1,0)</f>
        <v>0</v>
      </c>
      <c r="K23" s="135">
        <f>IF('1.IS'!K18&lt;10%,1,0)</f>
        <v>0</v>
      </c>
      <c r="L23" s="150">
        <f>SUM(B23:K23)</f>
        <v>0</v>
      </c>
    </row>
    <row r="25" spans="1:16" x14ac:dyDescent="0.25">
      <c r="A25" s="68" t="s">
        <v>60</v>
      </c>
      <c r="B25" s="140" t="str">
        <f>'1.IS'!B2</f>
        <v/>
      </c>
      <c r="C25" s="140" t="str">
        <f>'1.IS'!C2</f>
        <v/>
      </c>
      <c r="D25" s="140" t="str">
        <f>'1.IS'!D2</f>
        <v/>
      </c>
      <c r="E25" s="140" t="str">
        <f>'1.IS'!E2</f>
        <v/>
      </c>
      <c r="F25" s="140" t="str">
        <f>'1.IS'!F2</f>
        <v/>
      </c>
      <c r="G25" s="140" t="str">
        <f>'1.IS'!G2</f>
        <v/>
      </c>
      <c r="H25" s="140" t="str">
        <f>'1.IS'!H2</f>
        <v/>
      </c>
      <c r="I25" s="140" t="str">
        <f>'1.IS'!I2</f>
        <v/>
      </c>
      <c r="J25" s="140" t="str">
        <f>'1.IS'!J2</f>
        <v/>
      </c>
      <c r="K25" s="140" t="str">
        <f>'1.IS'!K2</f>
        <v/>
      </c>
      <c r="L25" s="140" t="str">
        <f>'1.IS'!L2</f>
        <v/>
      </c>
      <c r="M25" s="140" t="str">
        <f>'1.IS'!M2</f>
        <v/>
      </c>
      <c r="N25" s="140" t="str">
        <f>'1.IS'!N2</f>
        <v/>
      </c>
      <c r="O25" s="140" t="str">
        <f>'1.IS'!O2</f>
        <v/>
      </c>
      <c r="P25" s="140" t="str">
        <f>'1.IS'!P2</f>
        <v/>
      </c>
    </row>
    <row r="26" spans="1:16" x14ac:dyDescent="0.25">
      <c r="A26" s="106" t="s">
        <v>125</v>
      </c>
      <c r="B26" s="136" t="e">
        <f>VLOOKUP("Total Equity*",'8.TIKR_BS'!$A:$K,COLUMN(B2),FALSE)</f>
        <v>#N/A</v>
      </c>
      <c r="C26" s="136" t="e">
        <f>VLOOKUP("Total Equity*",'8.TIKR_BS'!$A:$K,COLUMN(C2),FALSE)</f>
        <v>#N/A</v>
      </c>
      <c r="D26" s="136" t="e">
        <f>VLOOKUP("Total Equity*",'8.TIKR_BS'!$A:$K,COLUMN(D2),FALSE)</f>
        <v>#N/A</v>
      </c>
      <c r="E26" s="136" t="e">
        <f>VLOOKUP("Total Equity*",'8.TIKR_BS'!$A:$K,COLUMN(E2),FALSE)</f>
        <v>#N/A</v>
      </c>
      <c r="F26" s="136" t="e">
        <f>VLOOKUP("Total Equity*",'8.TIKR_BS'!$A:$K,COLUMN(F2),FALSE)</f>
        <v>#N/A</v>
      </c>
      <c r="G26" s="136" t="e">
        <f>VLOOKUP("Total Equity*",'8.TIKR_BS'!$A:$K,COLUMN(G2),FALSE)</f>
        <v>#N/A</v>
      </c>
      <c r="H26" s="136" t="e">
        <f>VLOOKUP("Total Equity*",'8.TIKR_BS'!$A:$K,COLUMN(H2),FALSE)</f>
        <v>#N/A</v>
      </c>
      <c r="I26" s="136" t="e">
        <f>VLOOKUP("Total Equity*",'8.TIKR_BS'!$A:$K,COLUMN(I2),FALSE)</f>
        <v>#N/A</v>
      </c>
      <c r="J26" s="136" t="e">
        <f>VLOOKUP("Total Equity*",'8.TIKR_BS'!$A:$K,COLUMN(J2),FALSE)</f>
        <v>#N/A</v>
      </c>
      <c r="K26" s="136" t="e">
        <f>VLOOKUP("Total Equity*",'8.TIKR_BS'!$A:$K,COLUMN(K2),FALSE)</f>
        <v>#N/A</v>
      </c>
      <c r="L26" s="136" t="e">
        <f>K26+'1.IS'!L9</f>
        <v>#N/A</v>
      </c>
      <c r="M26" s="136" t="e">
        <f>L26+'1.IS'!M9</f>
        <v>#N/A</v>
      </c>
      <c r="N26" s="136" t="e">
        <f>M26+'1.IS'!N9</f>
        <v>#N/A</v>
      </c>
      <c r="O26" s="136" t="e">
        <f>N26+'1.IS'!O9</f>
        <v>#N/A</v>
      </c>
      <c r="P26" s="136" t="e">
        <f>O26+'1.IS'!P9</f>
        <v>#N/A</v>
      </c>
    </row>
    <row r="28" spans="1:16" x14ac:dyDescent="0.25">
      <c r="A28" s="68" t="s">
        <v>127</v>
      </c>
      <c r="B28" s="140" t="str">
        <f>'1.IS'!B2</f>
        <v/>
      </c>
      <c r="C28" s="140" t="str">
        <f>'1.IS'!C2</f>
        <v/>
      </c>
      <c r="D28" s="140" t="str">
        <f>'1.IS'!D2</f>
        <v/>
      </c>
      <c r="E28" s="140" t="str">
        <f>'1.IS'!E2</f>
        <v/>
      </c>
      <c r="F28" s="140" t="str">
        <f>'1.IS'!F2</f>
        <v/>
      </c>
      <c r="G28" s="140" t="str">
        <f>'1.IS'!G2</f>
        <v/>
      </c>
      <c r="H28" s="140" t="str">
        <f>'1.IS'!H2</f>
        <v/>
      </c>
      <c r="I28" s="140" t="str">
        <f>'1.IS'!I2</f>
        <v/>
      </c>
      <c r="J28" s="140" t="str">
        <f>'1.IS'!J2</f>
        <v/>
      </c>
      <c r="K28" s="140" t="str">
        <f>'1.IS'!K2</f>
        <v/>
      </c>
    </row>
    <row r="29" spans="1:16" x14ac:dyDescent="0.25">
      <c r="A29" s="106" t="s">
        <v>128</v>
      </c>
      <c r="B29" s="203" t="e">
        <f>VLOOKUP("Total Liabilities*",'8.TIKR_BS'!$A:$K,COLUMN(B2),FALSE)/B26</f>
        <v>#N/A</v>
      </c>
      <c r="C29" s="203" t="e">
        <f>VLOOKUP("Total Liabilities*",'8.TIKR_BS'!$A:$K,COLUMN(C2),FALSE)/C26</f>
        <v>#N/A</v>
      </c>
      <c r="D29" s="203" t="e">
        <f>VLOOKUP("Total Liabilities*",'8.TIKR_BS'!$A:$K,COLUMN(D2),FALSE)/D26</f>
        <v>#N/A</v>
      </c>
      <c r="E29" s="203" t="e">
        <f>VLOOKUP("Total Liabilities*",'8.TIKR_BS'!$A:$K,COLUMN(E2),FALSE)/E26</f>
        <v>#N/A</v>
      </c>
      <c r="F29" s="203" t="e">
        <f>VLOOKUP("Total Liabilities*",'8.TIKR_BS'!$A:$K,COLUMN(F2),FALSE)/F26</f>
        <v>#N/A</v>
      </c>
      <c r="G29" s="203" t="e">
        <f>VLOOKUP("Total Liabilities*",'8.TIKR_BS'!$A:$K,COLUMN(G2),FALSE)/G26</f>
        <v>#N/A</v>
      </c>
      <c r="H29" s="203" t="e">
        <f>VLOOKUP("Total Liabilities*",'8.TIKR_BS'!$A:$K,COLUMN(H2),FALSE)/H26</f>
        <v>#N/A</v>
      </c>
      <c r="I29" s="203" t="e">
        <f>VLOOKUP("Total Liabilities*",'8.TIKR_BS'!$A:$K,COLUMN(I2),FALSE)/I26</f>
        <v>#N/A</v>
      </c>
      <c r="J29" s="203" t="e">
        <f>VLOOKUP("Total Liabilities*",'8.TIKR_BS'!$A:$K,COLUMN(J2),FALSE)/J26</f>
        <v>#N/A</v>
      </c>
      <c r="K29" s="203" t="e">
        <f>VLOOKUP("Total Liabilities*",'8.TIKR_BS'!$A:$K,COLUMN(K2),FALSE)/K26</f>
        <v>#N/A</v>
      </c>
    </row>
  </sheetData>
  <sheetProtection selectLockedCells="1" selectUn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Instrucciones</vt:lpstr>
      <vt:lpstr>1.IS</vt:lpstr>
      <vt:lpstr>4.Valoración</vt:lpstr>
      <vt:lpstr>5.Red Flags</vt:lpstr>
      <vt:lpstr>7.TIKR_IS</vt:lpstr>
      <vt:lpstr>8.TIKR_BS</vt:lpstr>
      <vt:lpstr>9.TIKR_CF</vt:lpstr>
      <vt:lpstr>10.Glosario</vt:lpstr>
      <vt:lpstr>TIKR_Cálculos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2024-02-28T12:33:07Z</dcterms:modified>
</cp:coreProperties>
</file>
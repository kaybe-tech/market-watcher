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filterPrivacy="1"/>
  <xr:revisionPtr revIDLastSave="0" documentId="13_ncr:1_{D62601D3-09E5-CE48-A8E8-8364B7594112}" xr6:coauthVersionLast="47" xr6:coauthVersionMax="47" xr10:uidLastSave="{00000000-0000-0000-0000-000000000000}"/>
  <bookViews>
    <workbookView xWindow="25620" yWindow="640" windowWidth="25560" windowHeight="20920" tabRatio="636" activeTab="3" xr2:uid="{00000000-000D-0000-FFFF-FFFF00000000}"/>
  </bookViews>
  <sheets>
    <sheet name="Instrucciones" sheetId="13" r:id="rId1"/>
    <sheet name="1.IS" sheetId="1" r:id="rId2"/>
    <sheet name="2.FCF" sheetId="2" r:id="rId3"/>
    <sheet name="3.ROIC" sheetId="3" r:id="rId4"/>
    <sheet name="4.Valoración" sheetId="5" r:id="rId5"/>
    <sheet name="5.Red Flags" sheetId="14" r:id="rId6"/>
    <sheet name="6.Gráficos" sheetId="7" r:id="rId7"/>
    <sheet name="7.TIKR_IS" sheetId="8" r:id="rId8"/>
    <sheet name="8.TIKR_BS" sheetId="10" r:id="rId9"/>
    <sheet name="9.TIKR_CF" sheetId="11" r:id="rId10"/>
    <sheet name="10.Glosario" sheetId="6" r:id="rId11"/>
    <sheet name="TIKR_Cálculos" sheetId="12" state="hidden" r:id="rId1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1" l="1"/>
  <c r="A1" i="7"/>
  <c r="A1" i="14"/>
  <c r="A1" i="5"/>
  <c r="A1" i="3"/>
  <c r="A1" i="2"/>
  <c r="J2" i="1"/>
  <c r="K2" i="1" s="1"/>
  <c r="B29" i="12" s="1"/>
  <c r="I2" i="1"/>
  <c r="E2" i="1"/>
  <c r="F2" i="1" s="1"/>
  <c r="G2" i="1" s="1"/>
  <c r="H2" i="1" s="1"/>
  <c r="D2" i="1"/>
  <c r="C14" i="1" l="1"/>
  <c r="C15" i="1" s="1"/>
  <c r="C5" i="1"/>
  <c r="C6" i="1" s="1"/>
  <c r="C10" i="1"/>
  <c r="L2" i="1"/>
  <c r="C18" i="1" l="1"/>
  <c r="C20" i="1" s="1"/>
  <c r="C17" i="1"/>
  <c r="M2" i="1"/>
  <c r="C29" i="12"/>
  <c r="C2" i="14"/>
  <c r="B71" i="12"/>
  <c r="J71" i="12"/>
  <c r="K71" i="12"/>
  <c r="I71" i="12"/>
  <c r="H71" i="12"/>
  <c r="G71" i="12"/>
  <c r="F71" i="12"/>
  <c r="E71" i="12"/>
  <c r="D71" i="12"/>
  <c r="K44" i="12"/>
  <c r="J44" i="12"/>
  <c r="I44" i="12"/>
  <c r="H44" i="12"/>
  <c r="G44" i="12"/>
  <c r="F44" i="12"/>
  <c r="E44" i="12"/>
  <c r="D44" i="12"/>
  <c r="C44" i="12"/>
  <c r="B44" i="12"/>
  <c r="B15" i="12"/>
  <c r="K42" i="12"/>
  <c r="J42" i="12"/>
  <c r="I42" i="12"/>
  <c r="H42" i="12"/>
  <c r="G42" i="12"/>
  <c r="F42" i="12"/>
  <c r="E42" i="12"/>
  <c r="D42" i="12"/>
  <c r="C42" i="12"/>
  <c r="K41" i="12"/>
  <c r="J41" i="12"/>
  <c r="I41" i="12"/>
  <c r="H41" i="12"/>
  <c r="G41" i="12"/>
  <c r="F41" i="12"/>
  <c r="E41" i="12"/>
  <c r="D41" i="12"/>
  <c r="C41" i="12"/>
  <c r="B42" i="12"/>
  <c r="B41" i="12"/>
  <c r="B36" i="12"/>
  <c r="B35" i="12"/>
  <c r="K19" i="2"/>
  <c r="J19" i="2"/>
  <c r="I19" i="2"/>
  <c r="H19" i="2"/>
  <c r="G19" i="2"/>
  <c r="F19" i="2"/>
  <c r="E19" i="2"/>
  <c r="D19" i="2"/>
  <c r="C19" i="2"/>
  <c r="B19" i="2"/>
  <c r="K11" i="12"/>
  <c r="K43" i="12" s="1"/>
  <c r="J11" i="12"/>
  <c r="J43" i="12" s="1"/>
  <c r="I11" i="12"/>
  <c r="I43" i="12" s="1"/>
  <c r="H11" i="12"/>
  <c r="H43" i="12" s="1"/>
  <c r="G11" i="12"/>
  <c r="G43" i="12" s="1"/>
  <c r="F11" i="12"/>
  <c r="F43" i="12" s="1"/>
  <c r="E11" i="12"/>
  <c r="E43" i="12" s="1"/>
  <c r="D11" i="12"/>
  <c r="D43" i="12" s="1"/>
  <c r="C11" i="12"/>
  <c r="C43" i="12" s="1"/>
  <c r="B11" i="12"/>
  <c r="B43"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13" i="2"/>
  <c r="J13" i="2"/>
  <c r="I13" i="2"/>
  <c r="H13" i="2"/>
  <c r="G13" i="2"/>
  <c r="F13" i="2"/>
  <c r="E13" i="2"/>
  <c r="D13" i="2"/>
  <c r="C13" i="2"/>
  <c r="H6" i="2"/>
  <c r="G6" i="2"/>
  <c r="F6" i="2"/>
  <c r="E6" i="2"/>
  <c r="D6" i="2"/>
  <c r="C6" i="2"/>
  <c r="C26" i="1"/>
  <c r="C11" i="1"/>
  <c r="G11" i="2" l="1"/>
  <c r="F11" i="2"/>
  <c r="G23" i="2"/>
  <c r="F23" i="2"/>
  <c r="C23" i="1"/>
  <c r="C21" i="1"/>
  <c r="C4" i="1"/>
  <c r="G12" i="2"/>
  <c r="G69" i="12" s="1"/>
  <c r="H11" i="2"/>
  <c r="I11" i="2"/>
  <c r="I23" i="2" s="1"/>
  <c r="B11" i="2"/>
  <c r="B23" i="2" s="1"/>
  <c r="D11" i="2"/>
  <c r="D23" i="2" s="1"/>
  <c r="C11" i="2"/>
  <c r="C23" i="2" s="1"/>
  <c r="E11" i="2"/>
  <c r="E23" i="2" s="1"/>
  <c r="J11" i="2"/>
  <c r="K11" i="2"/>
  <c r="K23" i="2" s="1"/>
  <c r="D11" i="1"/>
  <c r="K11" i="1"/>
  <c r="G11" i="1"/>
  <c r="J11" i="1"/>
  <c r="E11" i="1"/>
  <c r="F11" i="1"/>
  <c r="H11" i="1"/>
  <c r="I11" i="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45" i="12"/>
  <c r="B33" i="12"/>
  <c r="B32" i="12"/>
  <c r="H2" i="14"/>
  <c r="J2" i="14"/>
  <c r="K2" i="14"/>
  <c r="B2" i="14"/>
  <c r="D2" i="14"/>
  <c r="E2" i="14"/>
  <c r="F2" i="14"/>
  <c r="G2" i="14"/>
  <c r="I2" i="14"/>
  <c r="B18" i="12"/>
  <c r="B19" i="12" s="1"/>
  <c r="C71" i="12"/>
  <c r="E14" i="1"/>
  <c r="E5" i="2" s="1"/>
  <c r="K68" i="12"/>
  <c r="J14" i="1"/>
  <c r="J67" i="12" s="1"/>
  <c r="B68" i="12"/>
  <c r="J68" i="12"/>
  <c r="I68" i="12"/>
  <c r="C68" i="12"/>
  <c r="D68" i="12"/>
  <c r="E68" i="12"/>
  <c r="F68" i="12"/>
  <c r="G68" i="12"/>
  <c r="H68" i="12"/>
  <c r="B48" i="12"/>
  <c r="I6" i="2"/>
  <c r="J6" i="2"/>
  <c r="K6" i="2"/>
  <c r="B25" i="12"/>
  <c r="B24" i="12"/>
  <c r="B22" i="12"/>
  <c r="B27" i="12" s="1"/>
  <c r="I10" i="1"/>
  <c r="H10" i="1"/>
  <c r="I14" i="1"/>
  <c r="I67" i="12" s="1"/>
  <c r="I26" i="1"/>
  <c r="K26" i="1"/>
  <c r="K4" i="1"/>
  <c r="D10" i="1"/>
  <c r="K14" i="1"/>
  <c r="K67" i="12" s="1"/>
  <c r="K3" i="5"/>
  <c r="L41" i="12"/>
  <c r="J5" i="12"/>
  <c r="J7" i="12" s="1"/>
  <c r="J22" i="2" s="1"/>
  <c r="J66" i="12" s="1"/>
  <c r="K5" i="12"/>
  <c r="K7" i="12" s="1"/>
  <c r="L42" i="12"/>
  <c r="L43" i="12"/>
  <c r="I5" i="12"/>
  <c r="I7" i="12" s="1"/>
  <c r="I22" i="2" s="1"/>
  <c r="I66" i="12" s="1"/>
  <c r="L44" i="12"/>
  <c r="F10" i="1"/>
  <c r="E10" i="1"/>
  <c r="J10" i="1"/>
  <c r="I5" i="1"/>
  <c r="G14" i="1"/>
  <c r="G67" i="12" s="1"/>
  <c r="I4" i="1"/>
  <c r="J4" i="1"/>
  <c r="J26" i="1"/>
  <c r="G10" i="1"/>
  <c r="K10" i="1"/>
  <c r="F14" i="1"/>
  <c r="J5" i="1"/>
  <c r="H14" i="1"/>
  <c r="H67" i="12" s="1"/>
  <c r="D14" i="1"/>
  <c r="D67" i="12" s="1"/>
  <c r="K5" i="1"/>
  <c r="B39" i="12"/>
  <c r="I12" i="2" l="1"/>
  <c r="I69" i="12" s="1"/>
  <c r="D12" i="2"/>
  <c r="D69" i="12" s="1"/>
  <c r="H12" i="2"/>
  <c r="H69" i="12" s="1"/>
  <c r="H23" i="2"/>
  <c r="J45" i="12"/>
  <c r="J4" i="5"/>
  <c r="J5" i="5" s="1"/>
  <c r="J76" i="12" s="1"/>
  <c r="J11" i="3"/>
  <c r="C45" i="12"/>
  <c r="C11" i="3"/>
  <c r="D11" i="3"/>
  <c r="D45" i="12"/>
  <c r="E45" i="12"/>
  <c r="E11" i="3"/>
  <c r="F45" i="12"/>
  <c r="F11" i="3"/>
  <c r="G11" i="3"/>
  <c r="G45" i="12"/>
  <c r="H45" i="12"/>
  <c r="H4" i="5"/>
  <c r="H11" i="3"/>
  <c r="I45" i="12"/>
  <c r="I4" i="5"/>
  <c r="I5" i="5" s="1"/>
  <c r="I76" i="12" s="1"/>
  <c r="I11" i="3"/>
  <c r="J12" i="2"/>
  <c r="J69" i="12" s="1"/>
  <c r="J23" i="2"/>
  <c r="K12" i="2"/>
  <c r="K69" i="12" s="1"/>
  <c r="E12" i="2"/>
  <c r="E69" i="12" s="1"/>
  <c r="C12" i="2"/>
  <c r="C69" i="12" s="1"/>
  <c r="K45" i="12"/>
  <c r="F12" i="2"/>
  <c r="F69" i="12" s="1"/>
  <c r="K7" i="1"/>
  <c r="B31" i="12"/>
  <c r="I7" i="5"/>
  <c r="J7" i="5"/>
  <c r="J7" i="1"/>
  <c r="B21" i="12"/>
  <c r="B26" i="12" s="1"/>
  <c r="K11" i="3"/>
  <c r="K4" i="5"/>
  <c r="B30" i="12" s="1"/>
  <c r="O2" i="1"/>
  <c r="E29" i="12"/>
  <c r="B20" i="12"/>
  <c r="K7" i="5"/>
  <c r="G73" i="12"/>
  <c r="E73" i="12"/>
  <c r="H49" i="12"/>
  <c r="I72" i="12"/>
  <c r="F73" i="12"/>
  <c r="H73" i="12"/>
  <c r="I56" i="12"/>
  <c r="I73" i="12"/>
  <c r="K56" i="12"/>
  <c r="K73" i="12"/>
  <c r="I49" i="12"/>
  <c r="J72" i="12"/>
  <c r="D73" i="12"/>
  <c r="J49" i="12"/>
  <c r="K72" i="12"/>
  <c r="J56" i="12"/>
  <c r="J73" i="12"/>
  <c r="E67" i="12"/>
  <c r="E15" i="1"/>
  <c r="E18" i="1" s="1"/>
  <c r="E20" i="1" s="1"/>
  <c r="J15" i="1"/>
  <c r="J18" i="1" s="1"/>
  <c r="J20" i="1" s="1"/>
  <c r="J5" i="2"/>
  <c r="I15" i="1"/>
  <c r="I18" i="1" s="1"/>
  <c r="I20" i="1" s="1"/>
  <c r="C5" i="2"/>
  <c r="C67" i="12"/>
  <c r="F5" i="2"/>
  <c r="F67" i="12"/>
  <c r="K65" i="12"/>
  <c r="I65" i="12"/>
  <c r="J65" i="12"/>
  <c r="I5" i="2"/>
  <c r="C48" i="12"/>
  <c r="K22" i="2"/>
  <c r="K66" i="12" s="1"/>
  <c r="C3" i="3"/>
  <c r="F15" i="1"/>
  <c r="F18" i="1" s="1"/>
  <c r="F20" i="1" s="1"/>
  <c r="G15" i="1"/>
  <c r="G5" i="2"/>
  <c r="K15" i="1"/>
  <c r="K5" i="2"/>
  <c r="D15" i="1"/>
  <c r="D18" i="1" s="1"/>
  <c r="D20" i="1" s="1"/>
  <c r="D5" i="2"/>
  <c r="H15" i="1"/>
  <c r="H5" i="2"/>
  <c r="J3" i="2"/>
  <c r="J6" i="1"/>
  <c r="J55" i="12" s="1"/>
  <c r="K3" i="2"/>
  <c r="I3" i="2"/>
  <c r="K10" i="12"/>
  <c r="I10" i="12"/>
  <c r="J10" i="12"/>
  <c r="I6" i="1"/>
  <c r="I55" i="12" s="1"/>
  <c r="K6" i="1"/>
  <c r="K55" i="12" s="1"/>
  <c r="B34" i="12" l="1"/>
  <c r="F21" i="1"/>
  <c r="F22" i="1"/>
  <c r="I21" i="1"/>
  <c r="E23" i="1"/>
  <c r="E22" i="1"/>
  <c r="J9" i="5"/>
  <c r="J22" i="1"/>
  <c r="D21" i="1"/>
  <c r="K5" i="5"/>
  <c r="K76" i="12" s="1"/>
  <c r="P2" i="1"/>
  <c r="G29" i="12" s="1"/>
  <c r="F29" i="12"/>
  <c r="E21" i="1"/>
  <c r="E17" i="1"/>
  <c r="E3" i="3" s="1"/>
  <c r="J14" i="3"/>
  <c r="I9" i="5"/>
  <c r="J23" i="1"/>
  <c r="I14" i="2"/>
  <c r="J21" i="1"/>
  <c r="J14" i="2"/>
  <c r="J17" i="1"/>
  <c r="J3" i="3" s="1"/>
  <c r="I23" i="1"/>
  <c r="I14" i="3"/>
  <c r="I17" i="1"/>
  <c r="I3" i="3" s="1"/>
  <c r="D48" i="12"/>
  <c r="D23" i="1"/>
  <c r="D22" i="1"/>
  <c r="K14" i="2"/>
  <c r="F23" i="1"/>
  <c r="F17" i="1"/>
  <c r="F3" i="3" s="1"/>
  <c r="I12" i="12"/>
  <c r="I40" i="12"/>
  <c r="K12" i="12"/>
  <c r="K40" i="12"/>
  <c r="J12" i="12"/>
  <c r="J40" i="12"/>
  <c r="G17" i="1"/>
  <c r="G3" i="3" s="1"/>
  <c r="G18" i="1"/>
  <c r="G20" i="1" s="1"/>
  <c r="G22" i="1" s="1"/>
  <c r="H17" i="1"/>
  <c r="H3" i="3" s="1"/>
  <c r="H18" i="1"/>
  <c r="H20" i="1" s="1"/>
  <c r="K18" i="1"/>
  <c r="K17" i="1"/>
  <c r="K3" i="3" s="1"/>
  <c r="D17" i="1"/>
  <c r="D3" i="3" s="1"/>
  <c r="C39" i="12"/>
  <c r="F24" i="1" l="1"/>
  <c r="H22" i="1"/>
  <c r="E24" i="1"/>
  <c r="I22" i="1"/>
  <c r="J16" i="3"/>
  <c r="J28" i="2"/>
  <c r="J32" i="2"/>
  <c r="J31" i="2"/>
  <c r="J29" i="2"/>
  <c r="J30" i="2"/>
  <c r="K32" i="2"/>
  <c r="K29" i="2"/>
  <c r="K28" i="2"/>
  <c r="K31" i="2"/>
  <c r="K30" i="2"/>
  <c r="I16" i="3"/>
  <c r="I31" i="2"/>
  <c r="I28" i="2"/>
  <c r="I32" i="2"/>
  <c r="I29" i="2"/>
  <c r="I30" i="2"/>
  <c r="K74" i="12"/>
  <c r="K16" i="3"/>
  <c r="J61" i="12"/>
  <c r="J74" i="12"/>
  <c r="I61" i="12"/>
  <c r="I74" i="12"/>
  <c r="K61" i="12"/>
  <c r="J24" i="1"/>
  <c r="I50" i="12" s="1"/>
  <c r="J10" i="5"/>
  <c r="J25" i="2"/>
  <c r="J16" i="2"/>
  <c r="I51" i="12" s="1"/>
  <c r="J24" i="2"/>
  <c r="I25" i="2"/>
  <c r="I10" i="5"/>
  <c r="J17" i="2"/>
  <c r="I15" i="2"/>
  <c r="I57" i="12" s="1"/>
  <c r="I17" i="2"/>
  <c r="I24" i="2"/>
  <c r="J15" i="2"/>
  <c r="J57" i="12" s="1"/>
  <c r="E48" i="12"/>
  <c r="K10" i="5"/>
  <c r="K20" i="1"/>
  <c r="D24" i="1"/>
  <c r="K16" i="2"/>
  <c r="J51" i="12" s="1"/>
  <c r="K24" i="2"/>
  <c r="K17" i="2"/>
  <c r="K15" i="2"/>
  <c r="K57" i="12" s="1"/>
  <c r="K25" i="2"/>
  <c r="H23" i="1"/>
  <c r="H21" i="1"/>
  <c r="G21" i="1"/>
  <c r="G23" i="1"/>
  <c r="G24" i="1" s="1"/>
  <c r="D39" i="12"/>
  <c r="F15" i="12"/>
  <c r="E15" i="12"/>
  <c r="D15" i="12"/>
  <c r="C15" i="12"/>
  <c r="B13" i="2"/>
  <c r="J18" i="2" l="1"/>
  <c r="K18" i="2"/>
  <c r="K9" i="5"/>
  <c r="K22" i="1"/>
  <c r="J33" i="2"/>
  <c r="I33" i="2"/>
  <c r="K23" i="1"/>
  <c r="K24" i="1" s="1"/>
  <c r="J50" i="12" s="1"/>
  <c r="K21" i="1"/>
  <c r="K14" i="3"/>
  <c r="B15" i="5"/>
  <c r="F48" i="12"/>
  <c r="K33" i="2"/>
  <c r="I24" i="1"/>
  <c r="H50" i="12" s="1"/>
  <c r="H24" i="1"/>
  <c r="E39" i="12"/>
  <c r="B14" i="1"/>
  <c r="B67" i="12" s="1"/>
  <c r="B54" i="12"/>
  <c r="B64" i="12"/>
  <c r="B60" i="12"/>
  <c r="B27" i="2"/>
  <c r="H5" i="1"/>
  <c r="E4" i="5"/>
  <c r="F4" i="5"/>
  <c r="E5" i="1"/>
  <c r="B5" i="1"/>
  <c r="D5" i="1"/>
  <c r="F5" i="1"/>
  <c r="G5" i="1"/>
  <c r="C4" i="5"/>
  <c r="D4" i="5"/>
  <c r="G4" i="5"/>
  <c r="B2" i="5"/>
  <c r="B9" i="12"/>
  <c r="F5" i="12"/>
  <c r="C5" i="12"/>
  <c r="D5" i="12"/>
  <c r="E5" i="12"/>
  <c r="G5" i="12"/>
  <c r="H5" i="12"/>
  <c r="B5" i="12"/>
  <c r="B1" i="12"/>
  <c r="H26" i="1"/>
  <c r="K20" i="5"/>
  <c r="H20" i="5"/>
  <c r="B65" i="12" l="1"/>
  <c r="C7" i="1"/>
  <c r="E65" i="12"/>
  <c r="E7" i="1"/>
  <c r="C65" i="12"/>
  <c r="H65" i="12"/>
  <c r="H7" i="1"/>
  <c r="I7" i="1"/>
  <c r="G65" i="12"/>
  <c r="G7" i="1"/>
  <c r="F65" i="12"/>
  <c r="F7" i="1"/>
  <c r="D65" i="12"/>
  <c r="D7" i="1"/>
  <c r="G48" i="12"/>
  <c r="C3" i="2"/>
  <c r="G3" i="2"/>
  <c r="F3" i="2"/>
  <c r="D3" i="2"/>
  <c r="E3" i="2"/>
  <c r="H3" i="2"/>
  <c r="H5" i="5"/>
  <c r="H76" i="12" s="1"/>
  <c r="F39" i="12"/>
  <c r="B23" i="12"/>
  <c r="B4" i="5"/>
  <c r="B15" i="1"/>
  <c r="B18" i="1" s="1"/>
  <c r="B20" i="1" s="1"/>
  <c r="C22" i="1" s="1"/>
  <c r="F7" i="12"/>
  <c r="E7" i="12"/>
  <c r="B7" i="12"/>
  <c r="H7" i="12"/>
  <c r="G7" i="12"/>
  <c r="D7" i="12"/>
  <c r="C7" i="12"/>
  <c r="F14" i="3"/>
  <c r="E14" i="3"/>
  <c r="C14" i="3"/>
  <c r="H14" i="3"/>
  <c r="D14" i="3"/>
  <c r="G14" i="3"/>
  <c r="B11" i="3"/>
  <c r="B13" i="3"/>
  <c r="B14" i="3" l="1"/>
  <c r="Q14" i="3" s="1"/>
  <c r="C14" i="2"/>
  <c r="F14" i="2"/>
  <c r="E14" i="2"/>
  <c r="I9" i="12"/>
  <c r="I60" i="12"/>
  <c r="I54" i="12"/>
  <c r="H48" i="12"/>
  <c r="I64" i="12"/>
  <c r="I13" i="3"/>
  <c r="I2" i="3"/>
  <c r="I27" i="2"/>
  <c r="I2" i="5"/>
  <c r="I1" i="12"/>
  <c r="I39" i="12"/>
  <c r="I2" i="2"/>
  <c r="I21" i="2"/>
  <c r="D14" i="2"/>
  <c r="G14" i="2"/>
  <c r="H14" i="2"/>
  <c r="G39" i="12"/>
  <c r="C22" i="2"/>
  <c r="C66" i="12" s="1"/>
  <c r="D22" i="2"/>
  <c r="D66" i="12" s="1"/>
  <c r="G22" i="2"/>
  <c r="G66" i="12" s="1"/>
  <c r="H22" i="2"/>
  <c r="H66" i="12" s="1"/>
  <c r="B22" i="2"/>
  <c r="E22" i="2"/>
  <c r="E66" i="12" s="1"/>
  <c r="F22" i="2"/>
  <c r="F66" i="12" s="1"/>
  <c r="G10" i="12"/>
  <c r="E10" i="12"/>
  <c r="D10" i="12"/>
  <c r="H10" i="12"/>
  <c r="B10" i="12"/>
  <c r="C10" i="12"/>
  <c r="F10" i="12"/>
  <c r="H29" i="2" l="1"/>
  <c r="H31" i="2"/>
  <c r="H32" i="2"/>
  <c r="H30" i="2"/>
  <c r="D29" i="2"/>
  <c r="D30" i="2"/>
  <c r="D31" i="2"/>
  <c r="D32" i="2"/>
  <c r="E29" i="2"/>
  <c r="E30" i="2"/>
  <c r="E31" i="2"/>
  <c r="E32" i="2"/>
  <c r="G30" i="2"/>
  <c r="G29" i="2"/>
  <c r="G31" i="2"/>
  <c r="G32" i="2"/>
  <c r="F30" i="2"/>
  <c r="F29" i="2"/>
  <c r="F31" i="2"/>
  <c r="F32" i="2"/>
  <c r="C30" i="2"/>
  <c r="C32" i="2"/>
  <c r="C29" i="2"/>
  <c r="C31" i="2"/>
  <c r="H74" i="12"/>
  <c r="D74" i="12"/>
  <c r="E74" i="12"/>
  <c r="F74" i="12"/>
  <c r="C74" i="12"/>
  <c r="G74" i="12"/>
  <c r="C17" i="2"/>
  <c r="C15" i="2"/>
  <c r="F15" i="2"/>
  <c r="E15" i="2"/>
  <c r="F16" i="2"/>
  <c r="F17" i="2"/>
  <c r="E17" i="2"/>
  <c r="B66" i="12"/>
  <c r="Q22" i="2"/>
  <c r="J60" i="12"/>
  <c r="I48" i="12"/>
  <c r="J54" i="12"/>
  <c r="J64" i="12"/>
  <c r="J9" i="12"/>
  <c r="J13" i="3"/>
  <c r="J27" i="2"/>
  <c r="J39" i="12"/>
  <c r="J2" i="2"/>
  <c r="J2" i="3"/>
  <c r="J21" i="2"/>
  <c r="J2" i="5"/>
  <c r="J1" i="12"/>
  <c r="H12" i="12"/>
  <c r="H16" i="3" s="1"/>
  <c r="H40" i="12"/>
  <c r="H28" i="2" s="1"/>
  <c r="D12" i="12"/>
  <c r="D16" i="3" s="1"/>
  <c r="D40" i="12"/>
  <c r="D28" i="2" s="1"/>
  <c r="E12" i="12"/>
  <c r="E16" i="3" s="1"/>
  <c r="E40" i="12"/>
  <c r="E28" i="2" s="1"/>
  <c r="B12" i="12"/>
  <c r="B40" i="12"/>
  <c r="G12" i="12"/>
  <c r="G16" i="3" s="1"/>
  <c r="G40" i="12"/>
  <c r="G28" i="2" s="1"/>
  <c r="F12" i="12"/>
  <c r="F16" i="3" s="1"/>
  <c r="F40" i="12"/>
  <c r="F28" i="2" s="1"/>
  <c r="C12" i="12"/>
  <c r="C16" i="3" s="1"/>
  <c r="C40" i="12"/>
  <c r="C28" i="2" s="1"/>
  <c r="E16" i="2"/>
  <c r="D17" i="2"/>
  <c r="D15" i="2"/>
  <c r="D16" i="2"/>
  <c r="G15" i="2"/>
  <c r="G16" i="2"/>
  <c r="G17" i="2"/>
  <c r="H16" i="2"/>
  <c r="I16" i="2"/>
  <c r="H51" i="12" s="1"/>
  <c r="H17" i="2"/>
  <c r="H15" i="2"/>
  <c r="H39" i="12"/>
  <c r="B2" i="3"/>
  <c r="B21" i="2"/>
  <c r="B2" i="2"/>
  <c r="B5" i="5"/>
  <c r="B5" i="2"/>
  <c r="B6" i="2"/>
  <c r="C5" i="5"/>
  <c r="C76" i="12" s="1"/>
  <c r="D5" i="5"/>
  <c r="D76" i="12" s="1"/>
  <c r="E5" i="5"/>
  <c r="E76" i="12" s="1"/>
  <c r="F5" i="5"/>
  <c r="F76" i="12" s="1"/>
  <c r="G5" i="5"/>
  <c r="G76" i="12" s="1"/>
  <c r="D26" i="1"/>
  <c r="E26" i="1"/>
  <c r="F26" i="1"/>
  <c r="G26" i="1"/>
  <c r="H8" i="5"/>
  <c r="C72" i="12"/>
  <c r="D4" i="1"/>
  <c r="E4" i="1"/>
  <c r="F4" i="1"/>
  <c r="G4" i="1"/>
  <c r="H4" i="1"/>
  <c r="B17" i="1"/>
  <c r="G56" i="12"/>
  <c r="F56" i="12"/>
  <c r="E56" i="12"/>
  <c r="D56" i="12"/>
  <c r="H56" i="12"/>
  <c r="C56" i="12"/>
  <c r="B10" i="1"/>
  <c r="C73" i="12" s="1"/>
  <c r="L73" i="12" s="1"/>
  <c r="B12" i="14" s="1"/>
  <c r="G8" i="5"/>
  <c r="F8" i="5"/>
  <c r="E8" i="5"/>
  <c r="D8" i="5"/>
  <c r="C8" i="5"/>
  <c r="B8" i="5"/>
  <c r="L5" i="5" l="1"/>
  <c r="F18" i="2"/>
  <c r="D18" i="2"/>
  <c r="H18" i="2"/>
  <c r="I18" i="2"/>
  <c r="G18" i="2"/>
  <c r="E18" i="2"/>
  <c r="S5" i="1"/>
  <c r="L17" i="1" s="1"/>
  <c r="M17" i="1" s="1"/>
  <c r="N17" i="1" s="1"/>
  <c r="O17" i="1" s="1"/>
  <c r="P17" i="1" s="1"/>
  <c r="B3" i="3"/>
  <c r="B76" i="12"/>
  <c r="L76" i="12" s="1"/>
  <c r="B15" i="14" s="1"/>
  <c r="E49" i="12"/>
  <c r="F72" i="12"/>
  <c r="D49" i="12"/>
  <c r="E72" i="12"/>
  <c r="C49" i="12"/>
  <c r="D72" i="12"/>
  <c r="G49" i="12"/>
  <c r="H72" i="12"/>
  <c r="F49" i="12"/>
  <c r="G72" i="12"/>
  <c r="J48" i="12"/>
  <c r="K54" i="12"/>
  <c r="K64" i="12"/>
  <c r="K60" i="12"/>
  <c r="K21" i="2"/>
  <c r="B17" i="12"/>
  <c r="K2" i="2"/>
  <c r="L27" i="2" s="1"/>
  <c r="K2" i="5"/>
  <c r="K13" i="3"/>
  <c r="K39" i="12"/>
  <c r="S2" i="1"/>
  <c r="K1" i="12"/>
  <c r="K9" i="12"/>
  <c r="K27" i="2"/>
  <c r="K2" i="3"/>
  <c r="Q13" i="3" s="1"/>
  <c r="L40" i="12"/>
  <c r="B56" i="12"/>
  <c r="S4" i="1"/>
  <c r="L10" i="1" s="1"/>
  <c r="M10" i="1" s="1"/>
  <c r="N10" i="1" s="1"/>
  <c r="O10" i="1" s="1"/>
  <c r="P10" i="1" s="1"/>
  <c r="S6" i="1"/>
  <c r="L26" i="1" s="1"/>
  <c r="M26" i="1" s="1"/>
  <c r="N26" i="1" s="1"/>
  <c r="O26" i="1" s="1"/>
  <c r="P26" i="1" s="1"/>
  <c r="B49" i="12"/>
  <c r="S3" i="1"/>
  <c r="L4" i="1" s="1"/>
  <c r="M4" i="1" s="1"/>
  <c r="N4" i="1" s="1"/>
  <c r="O4" i="1" s="1"/>
  <c r="P4" i="1" s="1"/>
  <c r="C54" i="12"/>
  <c r="C64" i="12"/>
  <c r="C60" i="12"/>
  <c r="C27" i="2"/>
  <c r="C2" i="5"/>
  <c r="C9" i="12"/>
  <c r="C1" i="12"/>
  <c r="B3" i="2"/>
  <c r="B14" i="2" s="1"/>
  <c r="C13" i="3"/>
  <c r="F6" i="1"/>
  <c r="F55" i="12" s="1"/>
  <c r="B6" i="1"/>
  <c r="B55" i="12" s="1"/>
  <c r="B7" i="5"/>
  <c r="E6" i="1"/>
  <c r="E55" i="12" s="1"/>
  <c r="C7" i="5"/>
  <c r="C55" i="12"/>
  <c r="G7" i="5"/>
  <c r="E7" i="5"/>
  <c r="D6" i="1"/>
  <c r="D55" i="12" s="1"/>
  <c r="K6" i="5"/>
  <c r="H7" i="5"/>
  <c r="D7" i="5"/>
  <c r="H6" i="1"/>
  <c r="H55" i="12" s="1"/>
  <c r="F7" i="5"/>
  <c r="G6" i="1"/>
  <c r="G55" i="12" s="1"/>
  <c r="C21" i="2"/>
  <c r="C2" i="2"/>
  <c r="C2" i="3"/>
  <c r="Q21" i="2" l="1"/>
  <c r="L25" i="1"/>
  <c r="M25" i="1" s="1"/>
  <c r="N25" i="1" s="1"/>
  <c r="L9" i="3"/>
  <c r="L8" i="3"/>
  <c r="B16" i="3"/>
  <c r="B28" i="2"/>
  <c r="B30" i="2"/>
  <c r="L30" i="2" s="1"/>
  <c r="B31" i="2"/>
  <c r="L31" i="2" s="1"/>
  <c r="B32" i="2"/>
  <c r="L32" i="2" s="1"/>
  <c r="B29" i="2"/>
  <c r="L29" i="2" s="1"/>
  <c r="B74" i="12"/>
  <c r="L74" i="12" s="1"/>
  <c r="B13" i="14" s="1"/>
  <c r="L72" i="12"/>
  <c r="B11" i="14" s="1"/>
  <c r="B18" i="5"/>
  <c r="B17" i="5"/>
  <c r="B16" i="5"/>
  <c r="I15" i="3"/>
  <c r="J15" i="3"/>
  <c r="K15" i="3"/>
  <c r="C16" i="2"/>
  <c r="D54" i="12"/>
  <c r="D64" i="12"/>
  <c r="D60" i="12"/>
  <c r="D27" i="2"/>
  <c r="B61" i="12"/>
  <c r="M5" i="5"/>
  <c r="D2" i="5"/>
  <c r="D9" i="12"/>
  <c r="D1" i="12"/>
  <c r="E9" i="5"/>
  <c r="H9" i="5"/>
  <c r="D13" i="3"/>
  <c r="D21" i="2"/>
  <c r="D2" i="2"/>
  <c r="D2" i="3"/>
  <c r="F9" i="5"/>
  <c r="C9" i="5"/>
  <c r="O25" i="1" l="1"/>
  <c r="P25" i="1" s="1"/>
  <c r="L3" i="5"/>
  <c r="M3" i="5"/>
  <c r="M8" i="3"/>
  <c r="N8" i="3" s="1"/>
  <c r="O8" i="3" s="1"/>
  <c r="P8" i="3" s="1"/>
  <c r="M9" i="3"/>
  <c r="N9" i="3" s="1"/>
  <c r="O9" i="3" s="1"/>
  <c r="P9" i="3" s="1"/>
  <c r="L3" i="1"/>
  <c r="L9" i="1" s="1"/>
  <c r="L8" i="1"/>
  <c r="K62" i="12"/>
  <c r="K75" i="12"/>
  <c r="J62" i="12"/>
  <c r="J75" i="12"/>
  <c r="I62" i="12"/>
  <c r="I75" i="12"/>
  <c r="B33" i="2"/>
  <c r="E60" i="12"/>
  <c r="E54" i="12"/>
  <c r="E64" i="12"/>
  <c r="E27" i="2"/>
  <c r="N5" i="5"/>
  <c r="E2" i="5"/>
  <c r="E9" i="12"/>
  <c r="E1" i="12"/>
  <c r="B17" i="2"/>
  <c r="C18" i="2" s="1"/>
  <c r="B24" i="2"/>
  <c r="B25" i="2"/>
  <c r="B10" i="5"/>
  <c r="B15" i="2"/>
  <c r="B57" i="12" s="1"/>
  <c r="B9" i="5"/>
  <c r="G9" i="5"/>
  <c r="B23" i="1"/>
  <c r="C24" i="1" s="1"/>
  <c r="B21" i="1"/>
  <c r="G50" i="12"/>
  <c r="D9" i="5"/>
  <c r="C50" i="12"/>
  <c r="E13" i="3"/>
  <c r="E21" i="2"/>
  <c r="E2" i="2"/>
  <c r="E2" i="3"/>
  <c r="L22" i="2" l="1"/>
  <c r="L4" i="2" s="1"/>
  <c r="L12" i="2"/>
  <c r="M3" i="1"/>
  <c r="M9" i="1" s="1"/>
  <c r="L5" i="1"/>
  <c r="B50" i="12"/>
  <c r="F60" i="12"/>
  <c r="F64" i="12"/>
  <c r="F54" i="12"/>
  <c r="F27" i="2"/>
  <c r="O5" i="5"/>
  <c r="F2" i="5"/>
  <c r="F9" i="12"/>
  <c r="F21" i="2"/>
  <c r="F1" i="12"/>
  <c r="F50" i="12"/>
  <c r="D50" i="12"/>
  <c r="E50" i="12"/>
  <c r="F13" i="3"/>
  <c r="F2" i="2"/>
  <c r="F2" i="3"/>
  <c r="N3" i="5"/>
  <c r="L7" i="1" l="1"/>
  <c r="L4" i="5"/>
  <c r="M22" i="2"/>
  <c r="N22" i="2"/>
  <c r="O22" i="2"/>
  <c r="P22" i="2"/>
  <c r="L11" i="2"/>
  <c r="M12" i="2"/>
  <c r="L11" i="1"/>
  <c r="L3" i="3"/>
  <c r="L8" i="5"/>
  <c r="N3" i="1"/>
  <c r="N9" i="1" s="1"/>
  <c r="M3" i="3"/>
  <c r="M8" i="1"/>
  <c r="G60" i="12"/>
  <c r="G54" i="12"/>
  <c r="G64" i="12"/>
  <c r="G27" i="2"/>
  <c r="P5" i="5"/>
  <c r="L3" i="2"/>
  <c r="G2" i="5"/>
  <c r="G9" i="12"/>
  <c r="G2" i="2"/>
  <c r="G1" i="12"/>
  <c r="L6" i="1"/>
  <c r="L7" i="5"/>
  <c r="G21" i="2"/>
  <c r="G13" i="3"/>
  <c r="G2" i="3"/>
  <c r="P3" i="5"/>
  <c r="O3" i="5"/>
  <c r="C15" i="3"/>
  <c r="H15" i="3"/>
  <c r="D15" i="3"/>
  <c r="B15" i="3"/>
  <c r="B75" i="12" s="1"/>
  <c r="E15" i="3"/>
  <c r="G15" i="3"/>
  <c r="F15" i="3"/>
  <c r="N12" i="2" l="1"/>
  <c r="L19" i="2"/>
  <c r="C30" i="12"/>
  <c r="C31" i="12" s="1"/>
  <c r="C34" i="12" s="1"/>
  <c r="M11" i="2"/>
  <c r="M8" i="5"/>
  <c r="M11" i="1"/>
  <c r="O3" i="1"/>
  <c r="N8" i="1"/>
  <c r="O8" i="1" s="1"/>
  <c r="P8" i="1" s="1"/>
  <c r="M5" i="1"/>
  <c r="G62" i="12"/>
  <c r="G75" i="12"/>
  <c r="D62" i="12"/>
  <c r="D75" i="12"/>
  <c r="H62" i="12"/>
  <c r="H75" i="12"/>
  <c r="C62" i="12"/>
  <c r="C75" i="12"/>
  <c r="F62" i="12"/>
  <c r="F75" i="12"/>
  <c r="E62" i="12"/>
  <c r="E75" i="12"/>
  <c r="B62" i="12"/>
  <c r="Q15" i="3"/>
  <c r="H60" i="12"/>
  <c r="H64" i="12"/>
  <c r="H54" i="12"/>
  <c r="H27" i="2"/>
  <c r="H9" i="12"/>
  <c r="H1" i="12"/>
  <c r="H2" i="3"/>
  <c r="B14" i="12"/>
  <c r="H21" i="2"/>
  <c r="H2" i="2"/>
  <c r="H2" i="5"/>
  <c r="H13" i="3"/>
  <c r="N11" i="2" l="1"/>
  <c r="O12" i="2"/>
  <c r="O11" i="2" s="1"/>
  <c r="O9" i="1"/>
  <c r="M7" i="5"/>
  <c r="M7" i="1"/>
  <c r="N11" i="1"/>
  <c r="N3" i="3"/>
  <c r="M6" i="1"/>
  <c r="M3" i="2"/>
  <c r="N8" i="5"/>
  <c r="N5" i="1"/>
  <c r="P3" i="1"/>
  <c r="M4" i="5"/>
  <c r="M19" i="2" s="1"/>
  <c r="L75" i="12"/>
  <c r="B14" i="14" s="1"/>
  <c r="L2" i="5"/>
  <c r="B20" i="5" s="1"/>
  <c r="L13" i="3"/>
  <c r="L2" i="3"/>
  <c r="C14" i="12"/>
  <c r="L2" i="2"/>
  <c r="L21" i="2"/>
  <c r="C32" i="12" l="1"/>
  <c r="C33" i="12"/>
  <c r="C35" i="12"/>
  <c r="L6" i="3" s="1"/>
  <c r="C36" i="12"/>
  <c r="L7" i="3" s="1"/>
  <c r="P9" i="1"/>
  <c r="P3" i="3" s="1"/>
  <c r="P12" i="2"/>
  <c r="P11" i="2" s="1"/>
  <c r="N6" i="1"/>
  <c r="N7" i="1"/>
  <c r="N4" i="5"/>
  <c r="N19" i="2" s="1"/>
  <c r="O11" i="1"/>
  <c r="O3" i="3"/>
  <c r="N3" i="2"/>
  <c r="N7" i="5"/>
  <c r="O5" i="1"/>
  <c r="O8" i="5"/>
  <c r="D30" i="12"/>
  <c r="D31" i="12" s="1"/>
  <c r="D14" i="12"/>
  <c r="M2" i="2"/>
  <c r="M13" i="3"/>
  <c r="M2" i="5"/>
  <c r="C20" i="5" s="1"/>
  <c r="M2" i="3"/>
  <c r="M21" i="2"/>
  <c r="P8" i="5" l="1"/>
  <c r="P5" i="1"/>
  <c r="P7" i="1" s="1"/>
  <c r="P11" i="1"/>
  <c r="L5" i="3"/>
  <c r="D33" i="12"/>
  <c r="E33" i="12" s="1"/>
  <c r="F33" i="12" s="1"/>
  <c r="G33" i="12" s="1"/>
  <c r="D34" i="12"/>
  <c r="E30" i="12"/>
  <c r="E31" i="12" s="1"/>
  <c r="O3" i="2"/>
  <c r="O7" i="1"/>
  <c r="O4" i="5"/>
  <c r="O19" i="2" s="1"/>
  <c r="O7" i="5"/>
  <c r="O6" i="1"/>
  <c r="N13" i="3"/>
  <c r="N21" i="2"/>
  <c r="N2" i="5"/>
  <c r="D20" i="5" s="1"/>
  <c r="E14" i="12"/>
  <c r="N2" i="3"/>
  <c r="N2" i="2"/>
  <c r="P3" i="2" l="1"/>
  <c r="P6" i="1"/>
  <c r="P4" i="5"/>
  <c r="P7" i="5"/>
  <c r="M5" i="3"/>
  <c r="E34" i="12"/>
  <c r="F30" i="12"/>
  <c r="F31" i="12" s="1"/>
  <c r="N5" i="3"/>
  <c r="F14" i="12"/>
  <c r="O2" i="5"/>
  <c r="E20" i="5" s="1"/>
  <c r="O2" i="3"/>
  <c r="O13" i="3"/>
  <c r="O21" i="2"/>
  <c r="O2" i="2"/>
  <c r="G30" i="12" l="1"/>
  <c r="G31" i="12" s="1"/>
  <c r="P19" i="2"/>
  <c r="F34" i="12"/>
  <c r="O5" i="3"/>
  <c r="P2" i="2"/>
  <c r="P13" i="3"/>
  <c r="P2" i="5"/>
  <c r="F20" i="5" s="1"/>
  <c r="P21" i="2"/>
  <c r="P2" i="3"/>
  <c r="G34" i="12" l="1"/>
  <c r="P5" i="3"/>
  <c r="Q23" i="2" l="1"/>
  <c r="E61" i="12"/>
  <c r="G61" i="12"/>
  <c r="H61" i="12"/>
  <c r="D61" i="12"/>
  <c r="F61" i="12"/>
  <c r="G57" i="12"/>
  <c r="G10" i="5"/>
  <c r="G24" i="2"/>
  <c r="G33" i="2"/>
  <c r="G25" i="2"/>
  <c r="F33" i="2"/>
  <c r="C61" i="12"/>
  <c r="D33" i="2"/>
  <c r="E33" i="2"/>
  <c r="H33" i="2"/>
  <c r="C33" i="2"/>
  <c r="D24" i="2"/>
  <c r="D10" i="5"/>
  <c r="D57" i="12"/>
  <c r="D25" i="2"/>
  <c r="F51" i="12"/>
  <c r="C24" i="2"/>
  <c r="E25" i="2"/>
  <c r="E24" i="2"/>
  <c r="E57" i="12"/>
  <c r="D51" i="12"/>
  <c r="E10" i="5"/>
  <c r="H24" i="2"/>
  <c r="H57" i="12"/>
  <c r="H25" i="2"/>
  <c r="H10" i="5"/>
  <c r="G51" i="12"/>
  <c r="C25" i="2"/>
  <c r="C10" i="5"/>
  <c r="B51" i="12"/>
  <c r="C57" i="12"/>
  <c r="C51" i="12"/>
  <c r="F57" i="12"/>
  <c r="F25" i="2"/>
  <c r="E51" i="12"/>
  <c r="F24" i="2"/>
  <c r="F10" i="5"/>
  <c r="Q25" i="2" l="1"/>
  <c r="Q24" i="2"/>
  <c r="L28" i="2"/>
  <c r="Q16" i="3"/>
  <c r="L33" i="2" l="1"/>
  <c r="L23" i="2"/>
  <c r="M23" i="2" l="1"/>
  <c r="N23" i="2"/>
  <c r="O23" i="2" l="1"/>
  <c r="P23" i="2"/>
  <c r="L13" i="1"/>
  <c r="M13" i="1" l="1"/>
  <c r="L12" i="1"/>
  <c r="L14" i="1" s="1"/>
  <c r="L6" i="5"/>
  <c r="N13" i="1"/>
  <c r="C17" i="5" l="1"/>
  <c r="D17" i="5" s="1"/>
  <c r="C18" i="5"/>
  <c r="D18" i="5" s="1"/>
  <c r="L5" i="2"/>
  <c r="L15" i="1"/>
  <c r="L16" i="1" s="1"/>
  <c r="M6" i="5"/>
  <c r="O13" i="1"/>
  <c r="F24" i="5" l="1"/>
  <c r="B23" i="5"/>
  <c r="C23" i="5"/>
  <c r="D23" i="5"/>
  <c r="E23" i="5"/>
  <c r="F23" i="5"/>
  <c r="L18" i="1"/>
  <c r="L19" i="1" s="1"/>
  <c r="L6" i="2"/>
  <c r="N6" i="5"/>
  <c r="P13" i="1"/>
  <c r="B24" i="5" l="1"/>
  <c r="C24" i="5"/>
  <c r="E24" i="5"/>
  <c r="D24" i="5"/>
  <c r="L20" i="1"/>
  <c r="L22" i="1" s="1"/>
  <c r="P6" i="5"/>
  <c r="O6" i="5"/>
  <c r="L21" i="1" l="1"/>
  <c r="L23" i="1"/>
  <c r="L24" i="1" s="1"/>
  <c r="L9" i="5"/>
  <c r="L13" i="2"/>
  <c r="L14" i="2" s="1"/>
  <c r="K24" i="5"/>
  <c r="K23" i="5"/>
  <c r="L16" i="2" l="1"/>
  <c r="L10" i="3"/>
  <c r="C15" i="5"/>
  <c r="D15" i="5" s="1"/>
  <c r="D16" i="5" s="1"/>
  <c r="L17" i="2"/>
  <c r="L18" i="2" s="1"/>
  <c r="L24" i="2"/>
  <c r="L15" i="2"/>
  <c r="L25" i="2"/>
  <c r="L10" i="5"/>
  <c r="B21" i="5" l="1"/>
  <c r="L11" i="3"/>
  <c r="L15" i="3" s="1"/>
  <c r="L14" i="3"/>
  <c r="C16" i="5"/>
  <c r="B22" i="5" l="1"/>
  <c r="B25" i="5" l="1"/>
  <c r="B26" i="5"/>
  <c r="M4" i="2" l="1"/>
  <c r="N4" i="2" s="1"/>
  <c r="O4" i="2" l="1"/>
  <c r="P4" i="2" s="1"/>
  <c r="L4" i="3"/>
  <c r="D32" i="12"/>
  <c r="E32" i="12" s="1"/>
  <c r="D35" i="12" l="1"/>
  <c r="N4" i="3"/>
  <c r="F32" i="12"/>
  <c r="M4" i="3"/>
  <c r="D36" i="12" l="1"/>
  <c r="E36" i="12" s="1"/>
  <c r="O4" i="3"/>
  <c r="G32" i="12"/>
  <c r="E35" i="12"/>
  <c r="M6" i="3"/>
  <c r="M7" i="3" l="1"/>
  <c r="M12" i="1" s="1"/>
  <c r="M14" i="1" s="1"/>
  <c r="M15" i="1" s="1"/>
  <c r="F35" i="12"/>
  <c r="N6" i="3"/>
  <c r="P4" i="3"/>
  <c r="N7" i="3"/>
  <c r="F36" i="12"/>
  <c r="N12" i="1" l="1"/>
  <c r="N14" i="1" s="1"/>
  <c r="N5" i="2" s="1"/>
  <c r="M5" i="2"/>
  <c r="G36" i="12"/>
  <c r="P7" i="3" s="1"/>
  <c r="O7" i="3"/>
  <c r="G35" i="12"/>
  <c r="P6" i="3" s="1"/>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24" i="1" s="1"/>
  <c r="M9" i="5"/>
  <c r="C21" i="5" s="1"/>
  <c r="P18" i="1"/>
  <c r="M13" i="2"/>
  <c r="M14" i="2" s="1"/>
  <c r="M10" i="3" s="1"/>
  <c r="N19" i="1"/>
  <c r="M11" i="3" l="1"/>
  <c r="M15" i="3" s="1"/>
  <c r="M14" i="3"/>
  <c r="O19" i="1"/>
  <c r="N13" i="2"/>
  <c r="N14" i="2" s="1"/>
  <c r="N20" i="1"/>
  <c r="M15" i="2"/>
  <c r="M24" i="2"/>
  <c r="M16" i="2"/>
  <c r="M17" i="2"/>
  <c r="M18" i="2" s="1"/>
  <c r="M25" i="2"/>
  <c r="M10" i="5"/>
  <c r="C22" i="5" s="1"/>
  <c r="C25" i="5" l="1"/>
  <c r="C26" i="5"/>
  <c r="O13" i="2"/>
  <c r="O14" i="2" s="1"/>
  <c r="P19" i="1"/>
  <c r="O20" i="1"/>
  <c r="N22" i="1"/>
  <c r="N9" i="5"/>
  <c r="D21" i="5" s="1"/>
  <c r="N21" i="1"/>
  <c r="N23" i="1"/>
  <c r="N24" i="1" s="1"/>
  <c r="N17" i="2"/>
  <c r="N18" i="2" s="1"/>
  <c r="N24" i="2"/>
  <c r="N15" i="2"/>
  <c r="N10" i="5"/>
  <c r="D22" i="5" s="1"/>
  <c r="N16" i="2"/>
  <c r="N25" i="2"/>
  <c r="N10" i="3"/>
  <c r="N14" i="3" s="1"/>
  <c r="D25" i="5" l="1"/>
  <c r="D26" i="5"/>
  <c r="O10" i="3"/>
  <c r="O14" i="3" s="1"/>
  <c r="N11" i="3"/>
  <c r="N15" i="3" s="1"/>
  <c r="P13" i="2"/>
  <c r="P14" i="2" s="1"/>
  <c r="P20" i="1"/>
  <c r="O23" i="1"/>
  <c r="O24" i="1" s="1"/>
  <c r="O22" i="1"/>
  <c r="O21" i="1"/>
  <c r="O9" i="5"/>
  <c r="E21" i="5" s="1"/>
  <c r="O24" i="2"/>
  <c r="O16" i="2"/>
  <c r="O10" i="5"/>
  <c r="E22" i="5" s="1"/>
  <c r="O15" i="2"/>
  <c r="O17" i="2"/>
  <c r="O18" i="2" s="1"/>
  <c r="O25" i="2"/>
  <c r="E26" i="5" l="1"/>
  <c r="E25" i="5"/>
  <c r="P22" i="1"/>
  <c r="P23" i="1"/>
  <c r="P24" i="1" s="1"/>
  <c r="P9" i="5"/>
  <c r="F21" i="5" s="1"/>
  <c r="K21" i="5" s="1"/>
  <c r="P21" i="1"/>
  <c r="P10" i="5"/>
  <c r="F22" i="5" s="1"/>
  <c r="P16" i="2"/>
  <c r="P15" i="2"/>
  <c r="P17" i="2"/>
  <c r="P18" i="2" s="1"/>
  <c r="P24" i="2"/>
  <c r="P25" i="2"/>
  <c r="O11" i="3"/>
  <c r="O15" i="3" s="1"/>
  <c r="P10" i="3"/>
  <c r="P11" i="3" s="1"/>
  <c r="P15" i="3" s="1"/>
  <c r="C44" i="5" l="1"/>
  <c r="D44" i="5" s="1"/>
  <c r="F25" i="5"/>
  <c r="F26" i="5"/>
  <c r="K22" i="5"/>
  <c r="K25" i="5" s="1"/>
  <c r="P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R6" authorId="0" shapeId="0" xr:uid="{12E32CEC-1BC3-43A5-90B0-A4F333D1BA80}">
      <text>
        <r>
          <rPr>
            <b/>
            <sz val="9"/>
            <color indexed="81"/>
            <rFont val="Tahoma"/>
            <family val="2"/>
          </rPr>
          <t>Autor:</t>
        </r>
        <r>
          <rPr>
            <sz val="9"/>
            <color indexed="81"/>
            <rFont val="Tahoma"/>
            <family val="2"/>
          </rPr>
          <t xml:space="preserve">
Si es negativo, implica que la empresa ha recomprado más acciones de las que emite</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A12" authorId="0" shapeId="0" xr:uid="{B30C6BA4-F0E5-4409-8C2A-59B0CC9F0D49}">
      <text>
        <r>
          <rPr>
            <b/>
            <sz val="9"/>
            <color indexed="81"/>
            <rFont val="Tahoma"/>
            <family val="2"/>
          </rPr>
          <t>Autor: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indexed="81"/>
            <rFont val="Tahoma"/>
            <family val="2"/>
          </rPr>
          <t>Introducir en negativo si es un ingreso (devolución de impuestos)
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rgb="FF000000"/>
            <rFont val="Tahoma"/>
            <family val="2"/>
          </rPr>
          <t xml:space="preserve">Si la compañlía no detalla cuando gasta en capex mantenimiento podemos:
</t>
        </r>
        <r>
          <rPr>
            <sz val="9"/>
            <color rgb="FF000000"/>
            <rFont val="Tahoma"/>
            <family val="2"/>
          </rPr>
          <t xml:space="preserve">
</t>
        </r>
        <r>
          <rPr>
            <sz val="9"/>
            <color rgb="FF000000"/>
            <rFont val="Tahoma"/>
            <family val="2"/>
          </rPr>
          <t xml:space="preserve">a) Usar el CapEx / sales medio de los rivales más maduros del sector, ya que apenas tendrán CapEx de crecimiento
</t>
        </r>
        <r>
          <rPr>
            <sz val="9"/>
            <color rgb="FF000000"/>
            <rFont val="Tahoma"/>
            <family val="2"/>
          </rPr>
          <t xml:space="preserve">
</t>
        </r>
        <r>
          <rPr>
            <sz val="9"/>
            <color rgb="FF000000"/>
            <rFont val="Tahoma"/>
            <family val="2"/>
          </rPr>
          <t xml:space="preserve">b) Usar la Depreciación como CapEx de mantenimiento aproximado
</t>
        </r>
        <r>
          <rPr>
            <sz val="9"/>
            <color rgb="FF000000"/>
            <rFont val="Tahoma"/>
            <family val="2"/>
          </rPr>
          <t xml:space="preserve">
</t>
        </r>
        <r>
          <rPr>
            <sz val="9"/>
            <color rgb="FF000000"/>
            <rFont val="Tahoma"/>
            <family val="2"/>
          </rPr>
          <t xml:space="preserve">Nombres comunes para esta partida:
</t>
        </r>
        <r>
          <rPr>
            <sz val="9"/>
            <color rgb="FF000000"/>
            <rFont val="Tahoma"/>
            <family val="2"/>
          </rPr>
          <t xml:space="preserve">
</t>
        </r>
        <r>
          <rPr>
            <sz val="9"/>
            <color rgb="FF000000"/>
            <rFont val="Tahoma"/>
            <family val="2"/>
          </rPr>
          <t>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C02889E2-0343-44DF-A727-0365B94DAC07}">
      <text>
        <r>
          <rPr>
            <b/>
            <sz val="9"/>
            <color indexed="81"/>
            <rFont val="Tahoma"/>
            <family val="2"/>
          </rPr>
          <t>Autor:</t>
        </r>
        <r>
          <rPr>
            <sz val="9"/>
            <color indexed="81"/>
            <rFont val="Tahoma"/>
            <family val="2"/>
          </rPr>
          <t xml:space="preserve">
Si es caja neta, va en NEGATIVO</t>
        </r>
      </text>
    </comment>
    <comment ref="B14"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4" authorId="0" shapeId="0" xr:uid="{DA113695-767D-40F7-A372-83279917C8EB}">
      <text>
        <r>
          <rPr>
            <sz val="9"/>
            <color indexed="81"/>
            <rFont val="Tahoma"/>
            <family val="2"/>
          </rPr>
          <t>Se calculan con las estimaciones del primer año disponible</t>
        </r>
      </text>
    </comment>
    <comment ref="H20"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4"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<sst xmlns="http://schemas.openxmlformats.org/spreadsheetml/2006/main" count="507" uniqueCount="402">
  <si>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</si>
  <si>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</si>
  <si>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</si>
  <si>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</si>
  <si>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</si>
  <si>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</si>
  <si>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</si>
  <si>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</si>
  <si>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</si>
  <si>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</si>
  <si>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</si>
  <si>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</si>
  <si>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</si>
  <si>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</si>
  <si>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</si>
  <si>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</si>
  <si>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</si>
  <si>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</si>
  <si>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</si>
  <si>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</si>
  <si>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</si>
  <si>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</si>
  <si>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</si>
  <si>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</si>
  <si>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</si>
  <si>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</si>
  <si>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</si>
  <si>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</si>
  <si>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</si>
  <si>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</si>
  <si>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</si>
  <si>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</si>
  <si>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</si>
  <si>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</si>
  <si>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</si>
  <si>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</si>
  <si>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</si>
  <si>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</si>
  <si>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</si>
  <si>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</si>
  <si>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</si>
  <si>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</si>
  <si>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</si>
  <si>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</si>
  <si>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</si>
  <si>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</si>
  <si>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</si>
  <si>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</si>
  <si>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</si>
  <si>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</si>
  <si>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</si>
  <si>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</si>
  <si>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</si>
  <si>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</si>
  <si>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</si>
  <si>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</si>
  <si>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</si>
  <si>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</si>
  <si>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</si>
  <si>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</si>
  <si>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</si>
  <si>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</si>
  <si>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</si>
  <si>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</si>
  <si>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</si>
  <si>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</si>
  <si>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</si>
  <si>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</si>
  <si>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</si>
  <si>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</si>
  <si>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</si>
  <si>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</si>
  <si>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LTM</t>
  </si>
  <si>
    <t>Objetivo</t>
  </si>
  <si>
    <t>Precio objetivo</t>
  </si>
  <si>
    <t>NTM</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</si>
  <si>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</si>
  <si>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</si>
  <si>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</si>
  <si>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</si>
  <si>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</si>
  <si>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</si>
  <si>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</si>
  <si>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</si>
  <si>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</si>
  <si>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</si>
  <si>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</si>
  <si>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</si>
  <si>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</si>
  <si>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</si>
  <si>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</si>
  <si>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</si>
  <si>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</si>
  <si>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</si>
  <si>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</si>
  <si>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</si>
  <si>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</si>
  <si>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</si>
  <si>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</si>
  <si>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</si>
  <si>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</si>
  <si>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</si>
  <si>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</si>
  <si>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</si>
  <si>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</si>
  <si>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</si>
  <si>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</si>
  <si>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</si>
  <si>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</si>
  <si>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</si>
  <si>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</si>
  <si>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</si>
  <si>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</si>
  <si>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Depreciation &amp; Amortization*</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</si>
  <si>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</si>
  <si>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</si>
  <si>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</si>
  <si>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</si>
  <si>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</si>
  <si>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</si>
  <si>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</si>
  <si>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</si>
  <si>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</si>
  <si>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</si>
  <si>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</si>
  <si>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</si>
  <si>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</si>
  <si>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</si>
  <si>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</si>
  <si>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</si>
  <si>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</si>
  <si>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</si>
  <si>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</si>
  <si>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</si>
  <si>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</si>
  <si>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</si>
  <si>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</si>
  <si>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</si>
  <si>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</si>
  <si>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</si>
  <si>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</si>
  <si>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</si>
  <si>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</si>
  <si>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</si>
  <si>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</si>
  <si>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</si>
  <si>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</si>
  <si>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</si>
  <si>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</si>
  <si>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</si>
  <si>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</si>
  <si>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</si>
  <si>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</si>
  <si>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</si>
  <si>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</si>
  <si>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</si>
  <si>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</si>
  <si>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</si>
  <si>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</si>
  <si>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</si>
  <si>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</si>
  <si>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</si>
  <si>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</si>
  <si>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</si>
  <si>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</si>
  <si>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</si>
  <si>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</si>
  <si>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</si>
  <si>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</si>
  <si>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</si>
  <si>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</si>
  <si>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</si>
  <si>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</si>
  <si>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</si>
  <si>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</si>
  <si>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</si>
  <si>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</si>
  <si>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</si>
  <si>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</si>
  <si>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</si>
  <si>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</si>
  <si>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</si>
  <si>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</si>
  <si>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</si>
  <si>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</si>
  <si>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</si>
  <si>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</si>
  <si>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</si>
  <si>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</si>
  <si>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</si>
  <si>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</si>
  <si>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</si>
  <si>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</si>
  <si>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</si>
  <si>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</si>
  <si>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</si>
  <si>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</si>
  <si>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</si>
  <si>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</si>
  <si>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</si>
  <si>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</si>
  <si>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</si>
  <si>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</si>
  <si>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</si>
  <si>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</si>
  <si>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</si>
  <si>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</si>
  <si>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</si>
  <si>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</si>
  <si>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</si>
  <si>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</si>
  <si>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</si>
  <si>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r>
      <t>- Hoja 1</t>
    </r>
    <r>
      <rPr>
        <b/>
        <sz val="12"/>
        <color theme="3"/>
        <rFont val="Ebrima"/>
      </rPr>
      <t>.IS</t>
    </r>
    <r>
      <rPr>
        <sz val="12"/>
        <color theme="3"/>
        <rFont val="Ebrima"/>
      </rPr>
      <t>: Las estimaciones pasan a ser anuales, de manera independiente (Crecimiento ventas, Margen EBIT, Tax Rate y Recompras); Se ha añadido el campo YoY Growth % al EBITDA, EBIT y Net Income</t>
    </r>
  </si>
  <si>
    <r>
      <t>- Hoja 2</t>
    </r>
    <r>
      <rPr>
        <b/>
        <sz val="12"/>
        <color theme="3"/>
        <rFont val="Ebrima"/>
      </rPr>
      <t>.FCF</t>
    </r>
    <r>
      <rPr>
        <sz val="12"/>
        <color theme="3"/>
        <rFont val="Ebrima"/>
      </rPr>
      <t>: Se ha desglosado la partida "Unearned Revenue" en el WC. Anteriormente, se sumaba a la partida Payables. Esto es meramente informativo, el resultado del WC y de las Variaciones de WC NO cambian</t>
    </r>
  </si>
  <si>
    <r>
      <t>- Hoja 4.</t>
    </r>
    <r>
      <rPr>
        <b/>
        <sz val="12"/>
        <color theme="3"/>
        <rFont val="Ebrima"/>
      </rPr>
      <t>Valoración:</t>
    </r>
    <r>
      <rPr>
        <sz val="12"/>
        <color theme="3"/>
        <rFont val="Ebrima"/>
      </rPr>
      <t xml:space="preserve"> Hemos añadido un campo para calcular el precio de compra según la rentabilidad anual objetivo</t>
    </r>
  </si>
  <si>
    <t>Margen de seguridad (EV/FCF)</t>
  </si>
  <si>
    <t>Diferencia vs precio actual</t>
  </si>
  <si>
    <t>Precio de compra</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</si>
  <si>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</si>
  <si>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</si>
  <si>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</si>
  <si>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</si>
  <si>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Novedades plantilla v2024.3 (9ª edición curso avanzado)</t>
  </si>
  <si>
    <r>
      <t>- Hoja 3</t>
    </r>
    <r>
      <rPr>
        <b/>
        <sz val="12"/>
        <color theme="3"/>
        <rFont val="Ebrima"/>
      </rPr>
      <t>.ROIC</t>
    </r>
    <r>
      <rPr>
        <sz val="12"/>
        <color theme="3"/>
        <rFont val="Ebrima"/>
      </rPr>
      <t>: Hemos incluido en la deuda las partidas correspondientes a la división financiera de las compañías. Ejemplos: Deere &amp; Co, fabricantes de automóviles... ("Finance division debt"). Se ha mejorado la estimación del mix de cash + deuda</t>
    </r>
  </si>
  <si>
    <t>Income Statement | TIKR.com</t>
  </si>
  <si>
    <t>8/30/20</t>
  </si>
  <si>
    <t>8/29/21</t>
  </si>
  <si>
    <t>8/28/22</t>
  </si>
  <si>
    <t>8/31/25</t>
  </si>
  <si>
    <t>Revenues </t>
  </si>
  <si>
    <t>Total Revenues</t>
  </si>
  <si>
    <t>   % Change YoY </t>
  </si>
  <si>
    <t>Cost of Goods Sold </t>
  </si>
  <si>
    <t>Gross Profit </t>
  </si>
  <si>
    <t>   % Gross Margins </t>
  </si>
  <si>
    <t>Selling General &amp; Admin Expenses </t>
  </si>
  <si>
    <t>Pre-Opening Costs </t>
  </si>
  <si>
    <t>Other Operating Expenses</t>
  </si>
  <si>
    <t>Total Operating Expenses</t>
  </si>
  <si>
    <t>Operating Income </t>
  </si>
  <si>
    <t>   % Operating Margins </t>
  </si>
  <si>
    <t>Interest Expense </t>
  </si>
  <si>
    <t>Interest And Investment Income</t>
  </si>
  <si>
    <t>Income (Loss) On Equity Invest. </t>
  </si>
  <si>
    <t>Currency Exchange Gains (Loss) </t>
  </si>
  <si>
    <t>Other Non Operating Income (Expenses)</t>
  </si>
  <si>
    <t>EBT Excl. Unusual Items</t>
  </si>
  <si>
    <t>Gain (Loss) On Sale Of Investments</t>
  </si>
  <si>
    <t>Asset Writedown </t>
  </si>
  <si>
    <t>Legal Settlements </t>
  </si>
  <si>
    <t>Other Unusual Items</t>
  </si>
  <si>
    <t>EBT Incl. Unusual Items</t>
  </si>
  <si>
    <t>Income Tax Expense </t>
  </si>
  <si>
    <t>Earnings From Continuing Operations</t>
  </si>
  <si>
    <t>Earnings Of Discontinued Operations</t>
  </si>
  <si>
    <t>Extraordinary Item &amp; Accounting Change</t>
  </si>
  <si>
    <t>Net Income to Company</t>
  </si>
  <si>
    <t>Minority Interest</t>
  </si>
  <si>
    <t>Net Income to Common Incl Extra Items </t>
  </si>
  <si>
    <t>   % Net Income to Common Incl Extra Items Margins</t>
  </si>
  <si>
    <t>Net Income to Common Excl. Extra Items </t>
  </si>
  <si>
    <t>   % Net Income to Common Excl. Extra Items Margins</t>
  </si>
  <si>
    <t>Supplementary Data:</t>
  </si>
  <si>
    <t>Diluted EPS Excl Extra Items </t>
  </si>
  <si>
    <t>Weighted Average Diluted Shares Outstanding</t>
  </si>
  <si>
    <t>Weighted Average Basic Shares Outstanding</t>
  </si>
  <si>
    <t>Dividends Per Share</t>
  </si>
  <si>
    <t>Special Dividends Per Share </t>
  </si>
  <si>
    <t>Payout Ratio %</t>
  </si>
  <si>
    <t>Basic EPS</t>
  </si>
  <si>
    <t>EBITDA </t>
  </si>
  <si>
    <t>EBITDAR </t>
  </si>
  <si>
    <t>Effective Tax Rate % </t>
  </si>
  <si>
    <t>Same Store Sales Growth %</t>
  </si>
  <si>
    <t>Price Factors:</t>
  </si>
  <si>
    <t>Market Cap</t>
  </si>
  <si>
    <t>Price Close</t>
  </si>
  <si>
    <t>TEV</t>
  </si>
  <si>
    <r>
      <t>Active Watchlist: </t>
    </r>
    <r>
      <rPr>
        <b/>
        <sz val="12"/>
        <color rgb="FFCFD2D6"/>
        <rFont val="Calibri"/>
        <family val="2"/>
        <scheme val="minor"/>
      </rPr>
      <t>None</t>
    </r>
  </si>
  <si>
    <t>© 2019 - 2026, TIKR Inc.</t>
  </si>
  <si>
    <t>Terms</t>
  </si>
  <si>
    <t>Privacy</t>
  </si>
  <si>
    <t>8/28/16</t>
  </si>
  <si>
    <t>Balance Sheet | TIKR.com</t>
  </si>
  <si>
    <t>Cash And Equivalents </t>
  </si>
  <si>
    <t>Short Term Investments</t>
  </si>
  <si>
    <t>Trading Asset Securities</t>
  </si>
  <si>
    <t>Total Cash And Short Term Investments</t>
  </si>
  <si>
    <t>Accounts Receivable </t>
  </si>
  <si>
    <t>Other Receivables</t>
  </si>
  <si>
    <t>Total Receivables </t>
  </si>
  <si>
    <t>Inventory</t>
  </si>
  <si>
    <t>Deferred Tax Assets Current </t>
  </si>
  <si>
    <t>Other Current Assets</t>
  </si>
  <si>
    <t>Total Current Assets</t>
  </si>
  <si>
    <t>Gross Property Plant And Equipment </t>
  </si>
  <si>
    <t>Accumulated Depreciation </t>
  </si>
  <si>
    <t>Net Property Plant And Equipment</t>
  </si>
  <si>
    <t>Long-term Investments</t>
  </si>
  <si>
    <t>Goodwill </t>
  </si>
  <si>
    <t>Loans Receivable Long-Term</t>
  </si>
  <si>
    <t>Deferred Tax Assets Long-Term</t>
  </si>
  <si>
    <t>Other Long-Term Assets</t>
  </si>
  <si>
    <t>Total Assets</t>
  </si>
  <si>
    <t>Accounts Payable </t>
  </si>
  <si>
    <t>Accrued Expenses </t>
  </si>
  <si>
    <t>Short-term Borrowings</t>
  </si>
  <si>
    <t>Current Portion of Long-Term Debt </t>
  </si>
  <si>
    <t>Current Portion of Capital Lease Obligations</t>
  </si>
  <si>
    <t>Current Income Taxes Payable</t>
  </si>
  <si>
    <t>Unearned Revenue Current</t>
  </si>
  <si>
    <t>Deferred Tax Liability Current </t>
  </si>
  <si>
    <t>Other Current Liabilities</t>
  </si>
  <si>
    <t>Total Current Liabilities</t>
  </si>
  <si>
    <t>Long-Term Debt</t>
  </si>
  <si>
    <t>Capital Leases</t>
  </si>
  <si>
    <t>Deferred Tax Liability Non Current</t>
  </si>
  <si>
    <t>Other Non Current Liabilities</t>
  </si>
  <si>
    <t>Total Liabilities</t>
  </si>
  <si>
    <t>Common Stock </t>
  </si>
  <si>
    <t>Additional Paid In Capital </t>
  </si>
  <si>
    <t>Retained Earnings </t>
  </si>
  <si>
    <t>Comprehensive Income and Other</t>
  </si>
  <si>
    <t>Total Common Equity</t>
  </si>
  <si>
    <t>Total Equity</t>
  </si>
  <si>
    <t>Total Liabilities And Equity</t>
  </si>
  <si>
    <t>Total Shares Out. on Filing Date</t>
  </si>
  <si>
    <t>Book Value / Share</t>
  </si>
  <si>
    <t>Tangible Book Value </t>
  </si>
  <si>
    <t>Tangible Book Value / Share</t>
  </si>
  <si>
    <t>Total Debt</t>
  </si>
  <si>
    <t>Net Debt </t>
  </si>
  <si>
    <t>Total Minority Interest</t>
  </si>
  <si>
    <t>Equity Method Investments</t>
  </si>
  <si>
    <t>Land</t>
  </si>
  <si>
    <t>Buildings</t>
  </si>
  <si>
    <t>Construction In Progress</t>
  </si>
  <si>
    <t>Full Time Employees</t>
  </si>
  <si>
    <t>Cash Flow | TIKR.com</t>
  </si>
  <si>
    <t>8/31/17</t>
  </si>
  <si>
    <t>8/31/18</t>
  </si>
  <si>
    <t>8/31/19</t>
  </si>
  <si>
    <t>8/31/20</t>
  </si>
  <si>
    <t>8/31/21</t>
  </si>
  <si>
    <t>8/31/22</t>
  </si>
  <si>
    <t>8/31/23</t>
  </si>
  <si>
    <t>8/31/24</t>
  </si>
  <si>
    <t>Total Depreciation &amp; Amortization</t>
  </si>
  <si>
    <t>Total Depreciation &amp; Amortization &amp; Depletion</t>
  </si>
  <si>
    <t>(Income) Loss On Equity Investments</t>
  </si>
  <si>
    <t>(Gain) Loss From Sale Of Asset</t>
  </si>
  <si>
    <t>Stock-Based Compensation</t>
  </si>
  <si>
    <t>Deferred Taxes</t>
  </si>
  <si>
    <t>Asset Impairment Charge</t>
  </si>
  <si>
    <t>Excess Tax Benefit From Stock Based Compensation</t>
  </si>
  <si>
    <t>Change In Accounts Receivable</t>
  </si>
  <si>
    <t>Change In Inventories</t>
  </si>
  <si>
    <t>Change In Accounts Payable</t>
  </si>
  <si>
    <t>Change In Payable</t>
  </si>
  <si>
    <t>Change in Other Current Assets</t>
  </si>
  <si>
    <t>Change in Other Current Liabilities</t>
  </si>
  <si>
    <t>Change in Other Working Capital</t>
  </si>
  <si>
    <t>Other Operating Activities</t>
  </si>
  <si>
    <t>Cash Flow From Continuing Operating Activities</t>
  </si>
  <si>
    <t>Cash from Operations</t>
  </si>
  <si>
    <t>Memo: Change in Net Working Capital</t>
  </si>
  <si>
    <t>Capital Expenditure </t>
  </si>
  <si>
    <t>Sale of Property, Plant, and Equipment </t>
  </si>
  <si>
    <t>Net Sale (Purchase) of PP&amp;E</t>
  </si>
  <si>
    <t>Cash Acquisitions </t>
  </si>
  <si>
    <t>Divestitures </t>
  </si>
  <si>
    <t>Net Sale (Purchase) of Business</t>
  </si>
  <si>
    <t>Investment in Marketable and Equity Securities</t>
  </si>
  <si>
    <t>Other Investing Activities</t>
  </si>
  <si>
    <t>Cash Flow From Continuing Investing Activities</t>
  </si>
  <si>
    <t>Cash from Investing</t>
  </si>
  <si>
    <t>Short-Term Debt Issuance</t>
  </si>
  <si>
    <t>Long-Term Debt Issuance</t>
  </si>
  <si>
    <t>Total Debt Issued</t>
  </si>
  <si>
    <t>Short-Term Debt Payments</t>
  </si>
  <si>
    <t>Long-Term Debt Payments</t>
  </si>
  <si>
    <t>Total Debt Repaid</t>
  </si>
  <si>
    <t>Issuance of Common Stock</t>
  </si>
  <si>
    <t>Repurchase of Common Stock</t>
  </si>
  <si>
    <t>Common Dividends Paid </t>
  </si>
  <si>
    <t>Total Dividends Paid</t>
  </si>
  <si>
    <t>Proceeds From Stock Option Exercised</t>
  </si>
  <si>
    <t>Other Financing Activities</t>
  </si>
  <si>
    <t>Other CFF Items</t>
  </si>
  <si>
    <t>Cash from Financing</t>
  </si>
  <si>
    <t>Changes In Cash</t>
  </si>
  <si>
    <t>Foreign Exchange Rate Adjustments </t>
  </si>
  <si>
    <t>Cash and Cash Equivalents, Beginning of Period</t>
  </si>
  <si>
    <t>Cash and Cash Equivalents, End of Period</t>
  </si>
  <si>
    <t>Free Cash Flow </t>
  </si>
  <si>
    <t>   % Free Cash Flow Margins</t>
  </si>
  <si>
    <t>Net Change in Cash (As Reported)</t>
  </si>
  <si>
    <t>Cash Flow from Operations before NWC</t>
  </si>
  <si>
    <t>Cash Taxes Paid</t>
  </si>
  <si>
    <t>Cash Interest Paid</t>
  </si>
  <si>
    <t>8/31/16</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</si>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</sst>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164" formatCode="0.0"/>
    <numFmt numFmtId="165" formatCode="_-[$€-2]\ * #,##0_-;\-[$€-2]\ * #,##0_-;_-[$€-2]\ * &quot;-&quot;??_-;_-@_-"/>
    <numFmt numFmtId="166" formatCode="#,##0.0"/>
    <numFmt numFmtId="167" formatCode="#,##0;[Red]\(#,##0\)"/>
    <numFmt numFmtId="168" formatCode="#,##0.00;[Red]\(#,##0.00\)"/>
    <numFmt numFmtId="169" formatCode="0.0%"/>
    <numFmt numFmtId="170" formatCode="#,##0.0;\(#,##0.0\)"/>
    <numFmt numFmtId="171" formatCode="#,##0;\(#,##0\)"/>
  </numFmts>
  <fonts count="42"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4"/>
      <color rgb="FFFFFFFF"/>
      <name val="Calibri"/>
      <family val="2"/>
      <scheme val="minor"/>
    </font>
    <font>
      <sz val="14"/>
      <color theme="1"/>
      <name val="Calibri"/>
      <family val="2"/>
      <scheme val="minor"/>
    </font>
    <font>
      <sz val="14"/>
      <color rgb="FFCFD2D6"/>
      <name val="Calibri"/>
      <family val="2"/>
      <scheme val="minor"/>
    </font>
    <font>
      <b/>
      <sz val="14"/>
      <color theme="1"/>
      <name val="Calibri"/>
      <family val="2"/>
      <scheme val="minor"/>
    </font>
    <font>
      <b/>
      <sz val="14"/>
      <color rgb="FFCFD2D6"/>
      <name val="Calibri"/>
      <family val="2"/>
      <scheme val="minor"/>
    </font>
    <font>
      <b/>
      <i/>
      <sz val="14"/>
      <color theme="1"/>
      <name val="Calibri"/>
      <family val="2"/>
      <scheme val="minor"/>
    </font>
    <font>
      <b/>
      <i/>
      <sz val="14"/>
      <color rgb="FFCFD2D6"/>
      <name val="Calibri"/>
      <family val="2"/>
      <scheme val="minor"/>
    </font>
    <font>
      <sz val="14"/>
      <color rgb="FFF44336"/>
      <name val="Calibri"/>
      <family val="2"/>
      <scheme val="minor"/>
    </font>
    <font>
      <sz val="14"/>
      <color rgb="FF000000"/>
      <name val="Calibri"/>
      <family val="2"/>
      <scheme val="minor"/>
    </font>
    <font>
      <b/>
      <sz val="14"/>
      <color rgb="FFF44336"/>
      <name val="Calibri"/>
      <family val="2"/>
      <scheme val="minor"/>
    </font>
    <font>
      <i/>
      <sz val="14"/>
      <color theme="1"/>
      <name val="Calibri"/>
      <family val="2"/>
      <scheme val="minor"/>
    </font>
    <font>
      <i/>
      <sz val="14"/>
      <color rgb="FFCFD2D6"/>
      <name val="Calibri"/>
      <family val="2"/>
      <scheme val="minor"/>
    </font>
    <font>
      <i/>
      <sz val="14"/>
      <color rgb="FFF44336"/>
      <name val="Calibri"/>
      <family val="2"/>
      <scheme val="minor"/>
    </font>
    <font>
      <sz val="12"/>
      <color rgb="FFCFD2D6"/>
      <name val="Calibri"/>
      <family val="2"/>
      <scheme val="minor"/>
    </font>
    <font>
      <b/>
      <sz val="12"/>
      <color rgb="FFCFD2D6"/>
      <name val="Calibri"/>
      <family val="2"/>
      <scheme val="minor"/>
    </font>
    <font>
      <u/>
      <sz val="11"/>
      <color theme="10"/>
      <name val="Calibri"/>
      <family val="2"/>
      <scheme val="minor"/>
    </font>
    <font>
      <b/>
      <sz val="14"/>
      <color rgb="FF000000"/>
      <name val="Calibri"/>
      <family val="2"/>
      <scheme val="minor"/>
    </font>
    <font>
      <b/>
      <i/>
      <sz val="14"/>
      <color rgb="FFF44336"/>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45">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4"/>
      </left>
      <right/>
      <top style="thin">
        <color theme="4"/>
      </top>
      <bottom style="thin">
        <color theme="4"/>
      </bottom>
      <diagonal/>
    </border>
    <border>
      <left/>
      <right/>
      <top style="thin">
        <color theme="3"/>
      </top>
      <bottom style="thin">
        <color theme="3"/>
      </bottom>
      <diagonal/>
    </border>
  </borders>
  <cellStyleXfs count="3">
    <xf numFmtId="0" fontId="0" fillId="0" borderId="0"/>
    <xf numFmtId="9" fontId="1" fillId="0" borderId="0" applyFont="0" applyFill="0" applyBorder="0" applyAlignment="0" applyProtection="0"/>
    <xf numFmtId="0" fontId="39" fillId="0" borderId="0" applyNumberFormat="0" applyFill="0" applyBorder="0" applyAlignment="0" applyProtection="0"/>
  </cellStyleXfs>
  <cellXfs count="319">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9" fontId="14" fillId="7" borderId="0" xfId="1" applyFont="1" applyFill="1" applyBorder="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4" fontId="10"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20" fillId="0" borderId="0" xfId="0" applyFont="1"/>
    <xf numFmtId="0" fontId="20" fillId="0" borderId="0" xfId="0" applyFont="1" applyAlignment="1">
      <alignment horizontal="center"/>
    </xf>
    <xf numFmtId="14" fontId="20" fillId="0" borderId="0" xfId="0" applyNumberFormat="1" applyFont="1" applyAlignment="1">
      <alignment horizontal="center"/>
    </xf>
    <xf numFmtId="0" fontId="20" fillId="8" borderId="0" xfId="0" applyFont="1" applyFill="1"/>
    <xf numFmtId="0" fontId="20" fillId="0" borderId="0" xfId="0" applyFont="1" applyAlignment="1" applyProtection="1">
      <alignment horizontal="center"/>
      <protection locked="0"/>
    </xf>
    <xf numFmtId="14" fontId="20"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0" fontId="8" fillId="2" borderId="14" xfId="0" applyFont="1" applyFill="1" applyBorder="1" applyAlignment="1">
      <alignment horizontal="left" vertical="center" indent="1"/>
    </xf>
    <xf numFmtId="164" fontId="8" fillId="0" borderId="4" xfId="1" applyNumberFormat="1" applyFont="1" applyBorder="1" applyAlignment="1">
      <alignment horizontal="center" vertical="center"/>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6"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7" fillId="2" borderId="21" xfId="0" applyFont="1" applyFill="1" applyBorder="1" applyAlignment="1">
      <alignment horizontal="left" vertical="center" indent="1"/>
    </xf>
    <xf numFmtId="4" fontId="7" fillId="0" borderId="22" xfId="0" applyNumberFormat="1" applyFont="1" applyBorder="1" applyAlignment="1">
      <alignment horizontal="center" vertical="center"/>
    </xf>
    <xf numFmtId="0" fontId="7" fillId="2" borderId="22" xfId="0" applyFont="1" applyFill="1" applyBorder="1" applyAlignment="1">
      <alignment horizontal="left" vertical="center" indent="1"/>
    </xf>
    <xf numFmtId="9" fontId="7" fillId="0" borderId="23" xfId="1" applyFont="1" applyBorder="1" applyAlignment="1">
      <alignment horizontal="center" vertical="center"/>
    </xf>
    <xf numFmtId="9" fontId="0" fillId="0" borderId="0" xfId="1" applyFont="1" applyAlignment="1">
      <alignment horizontal="center"/>
    </xf>
    <xf numFmtId="164" fontId="8" fillId="0" borderId="3" xfId="0" applyNumberFormat="1" applyFont="1" applyBorder="1" applyAlignment="1">
      <alignment horizontal="center" vertical="center"/>
    </xf>
    <xf numFmtId="166" fontId="8" fillId="2" borderId="3" xfId="1" applyNumberFormat="1" applyFont="1" applyFill="1" applyBorder="1" applyAlignment="1">
      <alignment horizontal="center" vertical="center"/>
    </xf>
    <xf numFmtId="0" fontId="16" fillId="8" borderId="3" xfId="0" applyFont="1" applyFill="1" applyBorder="1" applyAlignment="1">
      <alignment horizontal="left" vertical="center" indent="2"/>
    </xf>
    <xf numFmtId="9" fontId="16"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6" fillId="8" borderId="0" xfId="0" applyFont="1" applyFill="1" applyAlignment="1">
      <alignment horizontal="left" vertical="center" indent="2"/>
    </xf>
    <xf numFmtId="4" fontId="16" fillId="8" borderId="0" xfId="0" applyNumberFormat="1" applyFont="1" applyFill="1" applyAlignment="1">
      <alignment horizontal="center" vertical="center"/>
    </xf>
    <xf numFmtId="9" fontId="16" fillId="8" borderId="3" xfId="1" applyFont="1" applyFill="1" applyBorder="1" applyAlignment="1">
      <alignment horizontal="center" vertical="center"/>
    </xf>
    <xf numFmtId="0" fontId="22"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4" xfId="1" applyNumberFormat="1" applyFont="1" applyFill="1" applyBorder="1" applyAlignment="1">
      <alignment horizontal="center" vertical="center"/>
    </xf>
    <xf numFmtId="171" fontId="11" fillId="6" borderId="27" xfId="1" applyNumberFormat="1" applyFont="1" applyFill="1" applyBorder="1" applyAlignment="1">
      <alignment horizontal="center" vertical="center"/>
    </xf>
    <xf numFmtId="171" fontId="11" fillId="6" borderId="28" xfId="0" applyNumberFormat="1" applyFont="1" applyFill="1" applyBorder="1" applyAlignment="1">
      <alignment horizontal="center" vertical="center"/>
    </xf>
    <xf numFmtId="171" fontId="11" fillId="6" borderId="29"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170" fontId="11" fillId="9" borderId="28" xfId="0" applyNumberFormat="1" applyFont="1" applyFill="1" applyBorder="1" applyAlignment="1">
      <alignment horizontal="center" vertical="center"/>
    </xf>
    <xf numFmtId="170" fontId="11" fillId="9" borderId="29"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30" xfId="1" applyFont="1" applyFill="1" applyBorder="1" applyAlignment="1">
      <alignment horizontal="center" vertical="center"/>
    </xf>
    <xf numFmtId="9" fontId="8" fillId="0" borderId="1" xfId="1" applyFont="1" applyBorder="1" applyAlignment="1">
      <alignment horizontal="center" vertical="center"/>
    </xf>
    <xf numFmtId="9" fontId="8" fillId="0" borderId="31" xfId="1" applyFont="1" applyBorder="1" applyAlignment="1">
      <alignment horizontal="center" vertical="center"/>
    </xf>
    <xf numFmtId="9" fontId="8" fillId="0" borderId="15" xfId="1" applyFont="1" applyBorder="1" applyAlignment="1">
      <alignment horizontal="center" vertical="center"/>
    </xf>
    <xf numFmtId="167" fontId="8" fillId="0" borderId="32" xfId="0" applyNumberFormat="1" applyFont="1" applyBorder="1" applyAlignment="1">
      <alignment horizontal="center" vertical="center"/>
    </xf>
    <xf numFmtId="167" fontId="8" fillId="0" borderId="33" xfId="0" applyNumberFormat="1" applyFont="1" applyBorder="1" applyAlignment="1">
      <alignment horizontal="center" vertical="center"/>
    </xf>
    <xf numFmtId="0" fontId="5" fillId="0" borderId="33" xfId="0" applyFont="1" applyBorder="1" applyAlignment="1">
      <alignment vertical="center"/>
    </xf>
    <xf numFmtId="167" fontId="8" fillId="2" borderId="33" xfId="0" applyNumberFormat="1" applyFont="1" applyFill="1" applyBorder="1" applyAlignment="1">
      <alignment horizontal="center" vertical="center"/>
    </xf>
    <xf numFmtId="167" fontId="8" fillId="2" borderId="3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31" xfId="0" applyNumberFormat="1" applyFont="1" applyBorder="1" applyAlignment="1">
      <alignment horizontal="center" vertical="center"/>
    </xf>
    <xf numFmtId="0" fontId="6" fillId="5" borderId="34" xfId="0" applyFont="1" applyFill="1" applyBorder="1" applyAlignment="1">
      <alignment horizontal="center" vertical="center" wrapText="1"/>
    </xf>
    <xf numFmtId="4" fontId="7" fillId="2" borderId="35" xfId="1" applyNumberFormat="1" applyFont="1" applyFill="1" applyBorder="1" applyAlignment="1">
      <alignment horizontal="center" vertical="center"/>
    </xf>
    <xf numFmtId="4" fontId="7" fillId="2" borderId="36" xfId="1" applyNumberFormat="1" applyFont="1" applyFill="1" applyBorder="1" applyAlignment="1">
      <alignment horizontal="center" vertical="center"/>
    </xf>
    <xf numFmtId="4" fontId="19" fillId="8" borderId="35" xfId="1" applyNumberFormat="1" applyFont="1" applyFill="1" applyBorder="1" applyAlignment="1">
      <alignment horizontal="center" vertical="center"/>
    </xf>
    <xf numFmtId="9" fontId="19" fillId="8" borderId="37" xfId="1" applyFont="1" applyFill="1" applyBorder="1" applyAlignment="1">
      <alignment horizontal="center" vertical="center"/>
    </xf>
    <xf numFmtId="0" fontId="20" fillId="0" borderId="0" xfId="0" applyFont="1" applyAlignment="1">
      <alignment vertical="center"/>
    </xf>
    <xf numFmtId="9" fontId="8" fillId="0" borderId="30" xfId="1" applyFont="1" applyBorder="1" applyAlignment="1">
      <alignment horizontal="center" vertical="center"/>
    </xf>
    <xf numFmtId="9" fontId="7" fillId="0" borderId="0" xfId="1" applyFont="1" applyFill="1" applyBorder="1" applyAlignment="1">
      <alignment horizontal="center" vertical="center"/>
    </xf>
    <xf numFmtId="1" fontId="20"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20" fillId="0" borderId="0" xfId="0" applyNumberFormat="1" applyFont="1" applyAlignment="1">
      <alignment horizontal="right"/>
    </xf>
    <xf numFmtId="1" fontId="0" fillId="0" borderId="13" xfId="0" applyNumberFormat="1" applyBorder="1" applyAlignment="1">
      <alignment horizontal="right"/>
    </xf>
    <xf numFmtId="1" fontId="20" fillId="0" borderId="0" xfId="0" applyNumberFormat="1" applyFont="1" applyAlignment="1">
      <alignment horizontal="right"/>
    </xf>
    <xf numFmtId="4" fontId="0" fillId="0" borderId="0" xfId="0" applyNumberFormat="1" applyAlignment="1">
      <alignment horizontal="right"/>
    </xf>
    <xf numFmtId="0" fontId="20"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8" xfId="0" applyFont="1" applyBorder="1"/>
    <xf numFmtId="3" fontId="8" fillId="0" borderId="17" xfId="1" applyNumberFormat="1" applyFont="1" applyBorder="1" applyAlignment="1">
      <alignment horizontal="center" vertical="center"/>
    </xf>
    <xf numFmtId="0" fontId="16" fillId="0" borderId="38"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20" fillId="10" borderId="0" xfId="0" applyNumberFormat="1" applyFont="1" applyFill="1" applyAlignment="1">
      <alignment horizontal="right"/>
    </xf>
    <xf numFmtId="3" fontId="0" fillId="10" borderId="0" xfId="0" applyNumberFormat="1" applyFill="1" applyAlignment="1">
      <alignment horizontal="right"/>
    </xf>
    <xf numFmtId="0" fontId="20" fillId="10" borderId="0" xfId="0" applyFont="1" applyFill="1" applyAlignment="1">
      <alignment horizontal="right"/>
    </xf>
    <xf numFmtId="0" fontId="0" fillId="10" borderId="0" xfId="0" applyFill="1" applyAlignment="1">
      <alignment horizontal="right"/>
    </xf>
    <xf numFmtId="166" fontId="7" fillId="0" borderId="0" xfId="0" applyNumberFormat="1" applyFont="1" applyAlignment="1">
      <alignment horizontal="center" vertical="center"/>
    </xf>
    <xf numFmtId="0" fontId="0" fillId="0" borderId="0" xfId="0" applyAlignment="1">
      <alignment horizontal="center" vertical="center"/>
    </xf>
    <xf numFmtId="9" fontId="11" fillId="6" borderId="27" xfId="1" applyFont="1" applyFill="1" applyBorder="1" applyAlignment="1">
      <alignment horizontal="center" vertical="center"/>
    </xf>
    <xf numFmtId="9" fontId="11" fillId="6" borderId="28" xfId="1" applyFont="1" applyFill="1" applyBorder="1" applyAlignment="1">
      <alignment horizontal="center" vertical="center"/>
    </xf>
    <xf numFmtId="9" fontId="11" fillId="6" borderId="29" xfId="1" applyFont="1" applyFill="1" applyBorder="1" applyAlignment="1">
      <alignment horizontal="center" vertical="center"/>
    </xf>
    <xf numFmtId="9" fontId="7" fillId="0" borderId="4" xfId="1" applyFont="1" applyFill="1" applyBorder="1" applyAlignment="1">
      <alignment horizontal="center" vertical="center"/>
    </xf>
    <xf numFmtId="9" fontId="7" fillId="2" borderId="38" xfId="1" applyFont="1" applyFill="1" applyBorder="1" applyAlignment="1">
      <alignment horizontal="center" vertical="center"/>
    </xf>
    <xf numFmtId="9" fontId="7" fillId="2" borderId="16" xfId="1" applyFont="1" applyFill="1" applyBorder="1" applyAlignment="1">
      <alignment horizontal="center" vertical="center"/>
    </xf>
    <xf numFmtId="0" fontId="11" fillId="0" borderId="0" xfId="0" applyFont="1" applyAlignment="1">
      <alignment horizontal="center" vertical="center" wrapText="1"/>
    </xf>
    <xf numFmtId="9" fontId="11" fillId="2" borderId="27" xfId="1" applyFont="1" applyFill="1" applyBorder="1" applyAlignment="1">
      <alignment horizontal="center" vertical="center"/>
    </xf>
    <xf numFmtId="9" fontId="11" fillId="2" borderId="28" xfId="1" applyFont="1" applyFill="1" applyBorder="1" applyAlignment="1">
      <alignment horizontal="center" vertical="center"/>
    </xf>
    <xf numFmtId="9" fontId="11" fillId="2" borderId="29" xfId="1" applyFont="1" applyFill="1" applyBorder="1" applyAlignment="1">
      <alignment horizontal="center" vertical="center"/>
    </xf>
    <xf numFmtId="0" fontId="5" fillId="0" borderId="39"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1" xfId="0" applyFont="1" applyFill="1" applyBorder="1" applyAlignment="1">
      <alignment horizontal="center" vertical="center" wrapText="1"/>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4" xfId="1" applyFont="1" applyFill="1" applyBorder="1" applyAlignment="1">
      <alignment horizontal="center" vertical="center"/>
    </xf>
    <xf numFmtId="166" fontId="23" fillId="6" borderId="25" xfId="1" applyNumberFormat="1" applyFont="1" applyFill="1" applyBorder="1" applyAlignment="1">
      <alignment horizontal="center" vertical="center"/>
    </xf>
    <xf numFmtId="166" fontId="23" fillId="6" borderId="26" xfId="1" applyNumberFormat="1" applyFont="1" applyFill="1" applyBorder="1" applyAlignment="1">
      <alignment horizontal="center" vertical="center"/>
    </xf>
    <xf numFmtId="166" fontId="23" fillId="6" borderId="40" xfId="1" applyNumberFormat="1" applyFont="1" applyFill="1" applyBorder="1" applyAlignment="1">
      <alignment horizontal="center" vertical="center"/>
    </xf>
    <xf numFmtId="166" fontId="23" fillId="0" borderId="0" xfId="1" applyNumberFormat="1" applyFont="1" applyFill="1" applyBorder="1" applyAlignment="1">
      <alignment horizontal="center" vertical="center"/>
    </xf>
    <xf numFmtId="4" fontId="7" fillId="2" borderId="43" xfId="1" applyNumberFormat="1" applyFont="1" applyFill="1" applyBorder="1" applyAlignment="1">
      <alignment horizontal="center" vertical="center"/>
    </xf>
    <xf numFmtId="0" fontId="7" fillId="11" borderId="43" xfId="0" applyFont="1" applyFill="1" applyBorder="1" applyAlignment="1">
      <alignment horizontal="left" vertical="center" indent="1"/>
    </xf>
    <xf numFmtId="166" fontId="11" fillId="0" borderId="0" xfId="1" applyNumberFormat="1" applyFont="1" applyBorder="1" applyAlignment="1">
      <alignment horizontal="right" vertical="center"/>
    </xf>
    <xf numFmtId="9" fontId="0" fillId="0" borderId="0" xfId="0" applyNumberFormat="1"/>
    <xf numFmtId="0" fontId="24" fillId="0" borderId="0" xfId="0" applyFont="1"/>
    <xf numFmtId="14" fontId="24" fillId="0" borderId="0" xfId="0" applyNumberFormat="1" applyFont="1"/>
    <xf numFmtId="0" fontId="25" fillId="0" borderId="0" xfId="0" applyFont="1"/>
    <xf numFmtId="4" fontId="26" fillId="0" borderId="0" xfId="0" applyNumberFormat="1" applyFont="1"/>
    <xf numFmtId="0" fontId="27" fillId="0" borderId="0" xfId="0" applyFont="1"/>
    <xf numFmtId="4" fontId="28" fillId="0" borderId="0" xfId="0" applyNumberFormat="1" applyFont="1"/>
    <xf numFmtId="0" fontId="29" fillId="0" borderId="0" xfId="0" applyFont="1"/>
    <xf numFmtId="10" fontId="30" fillId="0" borderId="0" xfId="0" applyNumberFormat="1" applyFont="1"/>
    <xf numFmtId="4" fontId="31" fillId="0" borderId="0" xfId="0" applyNumberFormat="1" applyFont="1"/>
    <xf numFmtId="0" fontId="31" fillId="0" borderId="0" xfId="0" applyFont="1"/>
    <xf numFmtId="0" fontId="32" fillId="0" borderId="0" xfId="0" applyFont="1"/>
    <xf numFmtId="4" fontId="33" fillId="0" borderId="0" xfId="0" applyNumberFormat="1" applyFont="1"/>
    <xf numFmtId="0" fontId="26" fillId="0" borderId="0" xfId="0" applyFont="1"/>
    <xf numFmtId="0" fontId="34" fillId="0" borderId="0" xfId="0" applyFont="1"/>
    <xf numFmtId="10" fontId="35" fillId="0" borderId="0" xfId="0" applyNumberFormat="1" applyFont="1"/>
    <xf numFmtId="10" fontId="36" fillId="0" borderId="0" xfId="0" applyNumberFormat="1" applyFont="1"/>
    <xf numFmtId="10" fontId="26" fillId="0" borderId="0" xfId="0" applyNumberFormat="1" applyFont="1"/>
    <xf numFmtId="8" fontId="26" fillId="0" borderId="0" xfId="0" applyNumberFormat="1" applyFont="1"/>
    <xf numFmtId="0" fontId="37" fillId="0" borderId="0" xfId="0" applyFont="1"/>
    <xf numFmtId="0" fontId="39" fillId="0" borderId="0" xfId="2"/>
    <xf numFmtId="4" fontId="35" fillId="0" borderId="0" xfId="0" applyNumberFormat="1" applyFont="1"/>
    <xf numFmtId="0" fontId="35" fillId="0" borderId="0" xfId="0" applyFont="1"/>
    <xf numFmtId="4" fontId="36" fillId="0" borderId="0" xfId="0" applyNumberFormat="1" applyFont="1"/>
    <xf numFmtId="0" fontId="40" fillId="0" borderId="0" xfId="0" applyFont="1"/>
    <xf numFmtId="0" fontId="28" fillId="0" borderId="0" xfId="0" applyFont="1"/>
    <xf numFmtId="0" fontId="33" fillId="0" borderId="0" xfId="0" applyFont="1"/>
    <xf numFmtId="10" fontId="41" fillId="0" borderId="0" xfId="0" applyNumberFormat="1" applyFont="1"/>
    <xf numFmtId="0" fontId="6" fillId="4" borderId="0" xfId="0" applyFont="1" applyFill="1" applyAlignment="1">
      <alignment horizontal="center" vertical="center" wrapText="1"/>
    </xf>
    <xf numFmtId="9" fontId="7" fillId="2" borderId="44" xfId="1" applyFont="1" applyFill="1" applyBorder="1" applyAlignment="1">
      <alignment horizontal="center" vertical="center"/>
    </xf>
    <xf numFmtId="9" fontId="7" fillId="2" borderId="41" xfId="1" applyFont="1" applyFill="1" applyBorder="1" applyAlignment="1">
      <alignment horizontal="center" vertical="center"/>
    </xf>
    <xf numFmtId="0" fontId="7" fillId="6" borderId="18" xfId="0" applyFont="1" applyFill="1" applyBorder="1" applyAlignment="1">
      <alignment horizontal="left" vertical="center" indent="1"/>
    </xf>
    <xf numFmtId="0" fontId="7" fillId="6" borderId="19" xfId="0" applyFont="1" applyFill="1" applyBorder="1" applyAlignment="1">
      <alignment horizontal="left" vertical="center" indent="1"/>
    </xf>
    <xf numFmtId="0" fontId="7" fillId="6" borderId="20" xfId="0" applyFont="1" applyFill="1" applyBorder="1" applyAlignment="1">
      <alignment horizontal="left" vertical="center" indent="1"/>
    </xf>
    <xf numFmtId="0" fontId="6" fillId="4" borderId="0" xfId="0" quotePrefix="1" applyFont="1" applyFill="1" applyAlignment="1">
      <alignment horizontal="center" vertical="center" wrapText="1"/>
    </xf>
    <xf numFmtId="0" fontId="0" fillId="0" borderId="0" xfId="0" applyAlignment="1">
      <alignment horizontal="center"/>
    </xf>
    <xf numFmtId="0" fontId="11" fillId="0" borderId="0" xfId="0" applyFont="1" applyAlignment="1">
      <alignment horizontal="left" vertical="center"/>
    </xf>
    <xf numFmtId="0" fontId="11" fillId="0" borderId="0" xfId="0" applyFont="1" applyAlignment="1">
      <alignment horizontal="left" vertical="center" wrapText="1" indent="1"/>
    </xf>
    <xf numFmtId="0" fontId="11" fillId="0" borderId="0" xfId="0" applyFont="1" applyAlignment="1">
      <alignment horizontal="center" vertical="center" wrapText="1"/>
    </xf>
    <xf numFmtId="0" fontId="0" fillId="0" borderId="0" xfId="0"/>
    <xf numFmtId="0" fontId="10" fillId="2" borderId="0" xfId="0" applyFont="1" applyFill="1" applyAlignment="1">
      <alignment horizontal="left" vertical="center"/>
    </xf>
  </cellXfs>
  <cellStyles count="3">
    <cellStyle name="Hipervínculo" xfId="2" builtinId="8"/>
    <cellStyle name="Normal" xfId="0" builtinId="0"/>
    <cellStyle name="Porcentaje" xfId="1" builtinId="5"/>
  </cellStyles>
  <dxfs count="50">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'4.Valoración'!$A$22</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'4.Valoración'!$B$20:$F$20</c:f>
              <c:strCache>
                <c:ptCount val="5"/>
                <c:pt idx="0">
                  <c:v>2026e</c:v>
                </c:pt>
                <c:pt idx="1">
                  <c:v>2027e</c:v>
                </c:pt>
                <c:pt idx="2">
                  <c:v>2028e</c:v>
                </c:pt>
                <c:pt idx="3">
                  <c:v>2029e</c:v>
                </c:pt>
                <c:pt idx="4">
                  <c:v>2030e</c:v>
                </c:pt>
              </c:strCache>
            </c:strRef>
          </c:cat>
          <c:val>
            <c:numRef>
              <c:f>'4.Valoración'!$B$22:$F$22</c:f>
              <c:numCache>
                <c:formatCode>#,##0.00</c:formatCode>
                <c:ptCount val="5"/>
                <c:pt idx="0">
                  <c:v>260.2489295905666</c:v>
                </c:pt>
                <c:pt idx="1">
                  <c:v>285.65685070858621</c:v>
                </c:pt>
                <c:pt idx="2">
                  <c:v>313.54532940874526</c:v>
                </c:pt>
                <c:pt idx="3">
                  <c:v>344.156540794222</c:v>
                </c:pt>
                <c:pt idx="4">
                  <c:v>377.75630335427167</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strRef>
              <c:f>'4.Valoración'!$B$20:$F$20</c:f>
              <c:strCache>
                <c:ptCount val="5"/>
                <c:pt idx="0">
                  <c:v>2026e</c:v>
                </c:pt>
                <c:pt idx="1">
                  <c:v>2027e</c:v>
                </c:pt>
                <c:pt idx="2">
                  <c:v>2028e</c:v>
                </c:pt>
                <c:pt idx="3">
                  <c:v>2029e</c:v>
                </c:pt>
                <c:pt idx="4">
                  <c:v>2030e</c:v>
                </c:pt>
              </c:strCache>
            </c:strRef>
          </c:cat>
          <c:val>
            <c:numRef>
              <c:f>TIKR_Cálculos!$B$15:$F$15</c:f>
              <c:numCache>
                <c:formatCode>#,##0.00</c:formatCode>
                <c:ptCount val="5"/>
                <c:pt idx="0">
                  <c:v>987.21</c:v>
                </c:pt>
                <c:pt idx="1">
                  <c:v>987.21</c:v>
                </c:pt>
                <c:pt idx="2">
                  <c:v>987.21</c:v>
                </c:pt>
                <c:pt idx="3">
                  <c:v>987.21</c:v>
                </c:pt>
                <c:pt idx="4">
                  <c:v>987.21</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TIKR_Cálculos!$A$55</c:f>
              <c:strCache>
                <c:ptCount val="1"/>
                <c:pt idx="0">
                  <c:v>EBITDA</c:v>
                </c:pt>
              </c:strCache>
            </c:strRef>
          </c:tx>
          <c:spPr>
            <a:ln w="28575" cap="rnd">
              <a:solidFill>
                <a:schemeClr val="accent1"/>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TIKR_Cálculos!$B$55:$K$55</c:f>
              <c:numCache>
                <c:formatCode>0.0%</c:formatCode>
                <c:ptCount val="10"/>
                <c:pt idx="0">
                  <c:v>3.0930179667955426E-2</c:v>
                </c:pt>
                <c:pt idx="1">
                  <c:v>3.1862042239875994E-2</c:v>
                </c:pt>
                <c:pt idx="2">
                  <c:v>3.164378143188111E-2</c:v>
                </c:pt>
                <c:pt idx="3">
                  <c:v>3.1021001552032378E-2</c:v>
                </c:pt>
                <c:pt idx="4">
                  <c:v>3.259155318089961E-2</c:v>
                </c:pt>
                <c:pt idx="5">
                  <c:v>3.4665618667986869E-2</c:v>
                </c:pt>
                <c:pt idx="6">
                  <c:v>3.4857283854878081E-2</c:v>
                </c:pt>
                <c:pt idx="7">
                  <c:v>3.5102563044285773E-2</c:v>
                </c:pt>
                <c:pt idx="8">
                  <c:v>3.6490039417888566E-2</c:v>
                </c:pt>
                <c:pt idx="9">
                  <c:v>3.7724126655403561E-2</c:v>
                </c:pt>
              </c:numCache>
            </c:numRef>
          </c:val>
          <c:smooth val="1"/>
          <c:extLst>
            <c:ext xmlns:c16="http://schemas.microsoft.com/office/drawing/2014/chart" uri="{C3380CC4-5D6E-409C-BE32-E72D297353CC}">
              <c16:uniqueId val="{00000000-724A-4770-9702-F87A32B0FCEE}"/>
            </c:ext>
          </c:extLst>
        </c:ser>
        <c:ser>
          <c:idx val="1"/>
          <c:order val="1"/>
          <c:tx>
            <c:strRef>
              <c:f>TIKR_Cálculos!$A$56</c:f>
              <c:strCache>
                <c:ptCount val="1"/>
                <c:pt idx="0">
                  <c:v>EBIT</c:v>
                </c:pt>
              </c:strCache>
            </c:strRef>
          </c:tx>
          <c:spPr>
            <a:ln w="28575" cap="rnd">
              <a:solidFill>
                <a:schemeClr val="accent6"/>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TIKR_Cálculos!$B$56:$K$56</c:f>
              <c:numCache>
                <c:formatCode>0.0%</c:formatCode>
                <c:ptCount val="10"/>
                <c:pt idx="0">
                  <c:v>3.0930179667955426E-2</c:v>
                </c:pt>
                <c:pt idx="1">
                  <c:v>3.1862042239875994E-2</c:v>
                </c:pt>
                <c:pt idx="2">
                  <c:v>3.164378143188111E-2</c:v>
                </c:pt>
                <c:pt idx="3">
                  <c:v>3.1021001552032378E-2</c:v>
                </c:pt>
                <c:pt idx="4">
                  <c:v>3.259155318089961E-2</c:v>
                </c:pt>
                <c:pt idx="5">
                  <c:v>3.4665618667986869E-2</c:v>
                </c:pt>
                <c:pt idx="6">
                  <c:v>3.4857283854878081E-2</c:v>
                </c:pt>
                <c:pt idx="7">
                  <c:v>3.5102563044285773E-2</c:v>
                </c:pt>
                <c:pt idx="8">
                  <c:v>3.6490039417888566E-2</c:v>
                </c:pt>
                <c:pt idx="9">
                  <c:v>3.7724126655403561E-2</c:v>
                </c:pt>
              </c:numCache>
            </c:numRef>
          </c:val>
          <c:smooth val="1"/>
          <c:extLst>
            <c:ext xmlns:c16="http://schemas.microsoft.com/office/drawing/2014/chart" uri="{C3380CC4-5D6E-409C-BE32-E72D297353CC}">
              <c16:uniqueId val="{00000001-724A-4770-9702-F87A32B0FCEE}"/>
            </c:ext>
          </c:extLst>
        </c:ser>
        <c:ser>
          <c:idx val="2"/>
          <c:order val="2"/>
          <c:tx>
            <c:strRef>
              <c:f>TIKR_Cálculos!$A$57</c:f>
              <c:strCache>
                <c:ptCount val="1"/>
                <c:pt idx="0">
                  <c:v>FCF</c:v>
                </c:pt>
              </c:strCache>
            </c:strRef>
          </c:tx>
          <c:spPr>
            <a:ln w="28575" cap="rnd">
              <a:solidFill>
                <a:schemeClr val="accent3"/>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TIKR_Cálculos!$B$57:$K$57</c:f>
              <c:numCache>
                <c:formatCode>0.0%</c:formatCode>
                <c:ptCount val="10"/>
                <c:pt idx="0">
                  <c:v>-2.8470590217235655E-3</c:v>
                </c:pt>
                <c:pt idx="1">
                  <c:v>9.7035458244526251E-3</c:v>
                </c:pt>
                <c:pt idx="2">
                  <c:v>3.0443012940046337E-3</c:v>
                </c:pt>
                <c:pt idx="3">
                  <c:v>6.0051210519767133E-3</c:v>
                </c:pt>
                <c:pt idx="4">
                  <c:v>1.774995352630411E-2</c:v>
                </c:pt>
                <c:pt idx="5">
                  <c:v>7.5129256006002173E-3</c:v>
                </c:pt>
                <c:pt idx="6">
                  <c:v>-2.2074957920988395E-3</c:v>
                </c:pt>
                <c:pt idx="7">
                  <c:v>1.3648933096702299E-2</c:v>
                </c:pt>
                <c:pt idx="8">
                  <c:v>8.7874774516315396E-3</c:v>
                </c:pt>
                <c:pt idx="9">
                  <c:v>1.1789924973204717E-2</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TIKR_Cálculos!$A$49</c:f>
              <c:strCache>
                <c:ptCount val="1"/>
                <c:pt idx="0">
                  <c:v>Ventas</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8.6810030407938069E-2</c:v>
                </c:pt>
                <c:pt idx="1">
                  <c:v>9.7275721759348968E-2</c:v>
                </c:pt>
                <c:pt idx="2">
                  <c:v>7.8593829462620779E-2</c:v>
                </c:pt>
                <c:pt idx="3">
                  <c:v>9.2061059704131545E-2</c:v>
                </c:pt>
                <c:pt idx="4">
                  <c:v>0.1749090015051481</c:v>
                </c:pt>
                <c:pt idx="5">
                  <c:v>0.15834817714580282</c:v>
                </c:pt>
                <c:pt idx="6">
                  <c:v>6.7573164606043512E-2</c:v>
                </c:pt>
                <c:pt idx="7">
                  <c:v>5.0200173345990341E-2</c:v>
                </c:pt>
                <c:pt idx="8">
                  <c:v>8.1673236314761463E-2</c:v>
                </c:pt>
              </c:numCache>
            </c:numRef>
          </c:val>
          <c:smooth val="1"/>
          <c:extLst>
            <c:ext xmlns:c16="http://schemas.microsoft.com/office/drawing/2014/chart" uri="{C3380CC4-5D6E-409C-BE32-E72D297353CC}">
              <c16:uniqueId val="{00000000-E8FB-47C7-8EDA-0FF775984DCF}"/>
            </c:ext>
          </c:extLst>
        </c:ser>
        <c:ser>
          <c:idx val="1"/>
          <c:order val="1"/>
          <c:tx>
            <c:strRef>
              <c:f>TIKR_Cálculos!$A$50</c:f>
              <c:strCache>
                <c:ptCount val="1"/>
                <c:pt idx="0">
                  <c:v>EPS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0.15488338443477528</c:v>
                </c:pt>
                <c:pt idx="1">
                  <c:v>0.15552294301487224</c:v>
                </c:pt>
                <c:pt idx="2">
                  <c:v>0.16519539692778354</c:v>
                </c:pt>
                <c:pt idx="3">
                  <c:v>0.10622993899436986</c:v>
                </c:pt>
                <c:pt idx="4">
                  <c:v>0.24629846558072493</c:v>
                </c:pt>
                <c:pt idx="5">
                  <c:v>0.16509053977568902</c:v>
                </c:pt>
                <c:pt idx="6">
                  <c:v>0.13864169685159794</c:v>
                </c:pt>
                <c:pt idx="7">
                  <c:v>9.8327581676828202E-2</c:v>
                </c:pt>
                <c:pt idx="8">
                  <c:v>9.6520404621876804E-2</c:v>
                </c:pt>
              </c:numCache>
            </c:numRef>
          </c:val>
          <c:smooth val="1"/>
          <c:extLst>
            <c:ext xmlns:c16="http://schemas.microsoft.com/office/drawing/2014/chart" uri="{C3380CC4-5D6E-409C-BE32-E72D297353CC}">
              <c16:uniqueId val="{00000001-E8FB-47C7-8EDA-0FF775984DCF}"/>
            </c:ext>
          </c:extLst>
        </c:ser>
        <c:ser>
          <c:idx val="2"/>
          <c:order val="2"/>
          <c:tx>
            <c:strRef>
              <c:f>TIKR_Cálculos!$A$51</c:f>
              <c:strCache>
                <c:ptCount val="1"/>
                <c:pt idx="0">
                  <c:v>FCF per share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TIKR_Cálculos!$B$51:$K$51</c15:sqref>
                  </c15:fullRef>
                </c:ext>
              </c:extLst>
              <c:f>TIKR_Cálculos!$B$51:$J$51</c:f>
              <c:numCache>
                <c:formatCode>0%</c:formatCode>
                <c:ptCount val="9"/>
                <c:pt idx="0">
                  <c:v>-4.7041420118343193</c:v>
                </c:pt>
                <c:pt idx="1">
                  <c:v>-0.65575079872204478</c:v>
                </c:pt>
                <c:pt idx="2">
                  <c:v>1.1276102088167053</c:v>
                </c:pt>
                <c:pt idx="3">
                  <c:v>2.2279171210468922</c:v>
                </c:pt>
                <c:pt idx="4">
                  <c:v>-0.50270270270270268</c:v>
                </c:pt>
                <c:pt idx="5">
                  <c:v>-1.3403532608695652</c:v>
                </c:pt>
                <c:pt idx="6">
                  <c:v>-7.6007984031936129</c:v>
                </c:pt>
                <c:pt idx="7">
                  <c:v>-0.3238584820078621</c:v>
                </c:pt>
                <c:pt idx="8">
                  <c:v>0.45125223613595705</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TIKR_Cálculos!$A$61</c:f>
              <c:strCache>
                <c:ptCount val="1"/>
                <c:pt idx="0">
                  <c:v>FCF</c:v>
                </c:pt>
              </c:strCache>
            </c:strRef>
          </c:tx>
          <c:spPr>
            <a:solidFill>
              <a:schemeClr val="accent1"/>
            </a:solidFill>
            <a:ln>
              <a:noFill/>
            </a:ln>
            <a:effectLst/>
          </c:spPr>
          <c:invertIfNegative val="0"/>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TIKR_Cálculos!$B$61:$K$61</c:f>
              <c:numCache>
                <c:formatCode>#,##0</c:formatCode>
                <c:ptCount val="10"/>
                <c:pt idx="0">
                  <c:v>-338</c:v>
                </c:pt>
                <c:pt idx="1">
                  <c:v>1252</c:v>
                </c:pt>
                <c:pt idx="2">
                  <c:v>431</c:v>
                </c:pt>
                <c:pt idx="3">
                  <c:v>917</c:v>
                </c:pt>
                <c:pt idx="4">
                  <c:v>2960</c:v>
                </c:pt>
                <c:pt idx="5">
                  <c:v>1472</c:v>
                </c:pt>
                <c:pt idx="6">
                  <c:v>-501</c:v>
                </c:pt>
                <c:pt idx="7">
                  <c:v>3307</c:v>
                </c:pt>
                <c:pt idx="8">
                  <c:v>2236</c:v>
                </c:pt>
                <c:pt idx="9">
                  <c:v>3245</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TIKR_Cálculos!$A$62</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TIKR_Cálculos!$B$62:$K$62</c:f>
              <c:numCache>
                <c:formatCode>0%</c:formatCode>
                <c:ptCount val="10"/>
                <c:pt idx="0">
                  <c:v>0.14848894153752235</c:v>
                </c:pt>
                <c:pt idx="1">
                  <c:v>0.16712278457882784</c:v>
                </c:pt>
                <c:pt idx="2">
                  <c:v>0.17281155239436116</c:v>
                </c:pt>
                <c:pt idx="3">
                  <c:v>0.16862353325655585</c:v>
                </c:pt>
                <c:pt idx="4">
                  <c:v>0.14288102078694342</c:v>
                </c:pt>
                <c:pt idx="5">
                  <c:v>0.18061322567354135</c:v>
                </c:pt>
                <c:pt idx="6">
                  <c:v>0.19416106386402743</c:v>
                </c:pt>
                <c:pt idx="7">
                  <c:v>0.1875276654690648</c:v>
                </c:pt>
                <c:pt idx="8">
                  <c:v>0.21654406731289444</c:v>
                </c:pt>
                <c:pt idx="9">
                  <c:v>0.20391985179174471</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TIKR_Cálculos!$A$65</c:f>
              <c:strCache>
                <c:ptCount val="1"/>
                <c:pt idx="0">
                  <c:v>Costes de ventas y operativos</c:v>
                </c:pt>
              </c:strCache>
            </c:strRef>
          </c:tx>
          <c:spPr>
            <a:solidFill>
              <a:schemeClr val="accent1"/>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TIKR_Cálculos!$B$65:$K$65</c:f>
              <c:numCache>
                <c:formatCode>0%</c:formatCode>
                <c:ptCount val="10"/>
                <c:pt idx="0">
                  <c:v>0.96906982033204458</c:v>
                </c:pt>
                <c:pt idx="1">
                  <c:v>0.96813795776012401</c:v>
                </c:pt>
                <c:pt idx="2">
                  <c:v>0.96835621856811893</c:v>
                </c:pt>
                <c:pt idx="3">
                  <c:v>0.96897899844796764</c:v>
                </c:pt>
                <c:pt idx="4">
                  <c:v>0.96740844681910043</c:v>
                </c:pt>
                <c:pt idx="5">
                  <c:v>0.9653343813320131</c:v>
                </c:pt>
                <c:pt idx="6">
                  <c:v>0.96514271614512193</c:v>
                </c:pt>
                <c:pt idx="7">
                  <c:v>0.96489743695571417</c:v>
                </c:pt>
                <c:pt idx="8">
                  <c:v>0.96350996058211147</c:v>
                </c:pt>
                <c:pt idx="9">
                  <c:v>0.96227587334459641</c:v>
                </c:pt>
              </c:numCache>
            </c:numRef>
          </c:val>
          <c:extLst>
            <c:ext xmlns:c16="http://schemas.microsoft.com/office/drawing/2014/chart" uri="{C3380CC4-5D6E-409C-BE32-E72D297353CC}">
              <c16:uniqueId val="{00000000-C215-46D2-A748-34BD26951EA4}"/>
            </c:ext>
          </c:extLst>
        </c:ser>
        <c:ser>
          <c:idx val="1"/>
          <c:order val="1"/>
          <c:tx>
            <c:strRef>
              <c:f>TIKR_Cálculos!$A$66</c:f>
              <c:strCache>
                <c:ptCount val="1"/>
                <c:pt idx="0">
                  <c:v>CapEx Mant.</c:v>
                </c:pt>
              </c:strCache>
            </c:strRef>
          </c:tx>
          <c:spPr>
            <a:solidFill>
              <a:schemeClr val="accent6"/>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TIKR_Cálculos!$B$66:$K$66</c:f>
              <c:numCache>
                <c:formatCode>0%</c:formatCode>
                <c:ptCount val="10"/>
                <c:pt idx="0">
                  <c:v>2.231319333889268E-2</c:v>
                </c:pt>
                <c:pt idx="1">
                  <c:v>1.9391590776981205E-2</c:v>
                </c:pt>
                <c:pt idx="2">
                  <c:v>2.0971068542690853E-2</c:v>
                </c:pt>
                <c:pt idx="3">
                  <c:v>1.9632882130671957E-2</c:v>
                </c:pt>
                <c:pt idx="4">
                  <c:v>1.685046263814681E-2</c:v>
                </c:pt>
                <c:pt idx="5">
                  <c:v>1.8312756151463029E-2</c:v>
                </c:pt>
                <c:pt idx="6">
                  <c:v>1.7144443367378411E-2</c:v>
                </c:pt>
                <c:pt idx="7">
                  <c:v>1.7842255148788642E-2</c:v>
                </c:pt>
                <c:pt idx="8">
                  <c:v>1.8510294632014555E-2</c:v>
                </c:pt>
                <c:pt idx="9">
                  <c:v>1.9975657165694771E-2</c:v>
                </c:pt>
              </c:numCache>
            </c:numRef>
          </c:val>
          <c:extLst>
            <c:ext xmlns:c16="http://schemas.microsoft.com/office/drawing/2014/chart" uri="{C3380CC4-5D6E-409C-BE32-E72D297353CC}">
              <c16:uniqueId val="{00000001-C215-46D2-A748-34BD26951EA4}"/>
            </c:ext>
          </c:extLst>
        </c:ser>
        <c:ser>
          <c:idx val="2"/>
          <c:order val="2"/>
          <c:tx>
            <c:strRef>
              <c:f>TIKR_Cálculos!$A$67</c:f>
              <c:strCache>
                <c:ptCount val="1"/>
                <c:pt idx="0">
                  <c:v>Intereses</c:v>
                </c:pt>
              </c:strCache>
            </c:strRef>
          </c:tx>
          <c:spPr>
            <a:solidFill>
              <a:schemeClr val="accent3"/>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TIKR_Cálculos!$B$67:$K$67</c:f>
              <c:numCache>
                <c:formatCode>0%</c:formatCode>
                <c:ptCount val="10"/>
                <c:pt idx="0">
                  <c:v>-7.7493914200759773E-4</c:v>
                </c:pt>
                <c:pt idx="1">
                  <c:v>-6.5103662080992053E-4</c:v>
                </c:pt>
                <c:pt idx="2">
                  <c:v>-5.9332090184777077E-4</c:v>
                </c:pt>
                <c:pt idx="3">
                  <c:v>-1.5716783560244395E-4</c:v>
                </c:pt>
                <c:pt idx="4">
                  <c:v>-4.2575902039445674E-4</c:v>
                </c:pt>
                <c:pt idx="5">
                  <c:v>-6.6350565766170396E-4</c:v>
                </c:pt>
                <c:pt idx="6">
                  <c:v>-4.273993848973801E-4</c:v>
                </c:pt>
                <c:pt idx="7">
                  <c:v>1.279458500144455E-3</c:v>
                </c:pt>
                <c:pt idx="8">
                  <c:v>1.4305195851493204E-3</c:v>
                </c:pt>
                <c:pt idx="9">
                  <c:v>1.1444765382309663E-3</c:v>
                </c:pt>
              </c:numCache>
            </c:numRef>
          </c:val>
          <c:extLst>
            <c:ext xmlns:c16="http://schemas.microsoft.com/office/drawing/2014/chart" uri="{C3380CC4-5D6E-409C-BE32-E72D297353CC}">
              <c16:uniqueId val="{00000002-C215-46D2-A748-34BD26951EA4}"/>
            </c:ext>
          </c:extLst>
        </c:ser>
        <c:ser>
          <c:idx val="3"/>
          <c:order val="3"/>
          <c:tx>
            <c:strRef>
              <c:f>TIKR_Cálculos!$A$68</c:f>
              <c:strCache>
                <c:ptCount val="1"/>
                <c:pt idx="0">
                  <c:v>Impuestos y otros</c:v>
                </c:pt>
              </c:strCache>
            </c:strRef>
          </c:tx>
          <c:spPr>
            <a:solidFill>
              <a:schemeClr val="bg2">
                <a:lumMod val="75000"/>
              </a:schemeClr>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TIKR_Cálculos!$B$68:$K$68</c:f>
              <c:numCache>
                <c:formatCode>0%</c:formatCode>
                <c:ptCount val="10"/>
                <c:pt idx="0">
                  <c:v>-1.0689106208778713E-2</c:v>
                </c:pt>
                <c:pt idx="1">
                  <c:v>-1.0540592908351095E-2</c:v>
                </c:pt>
                <c:pt idx="2">
                  <c:v>-9.2388540430581451E-3</c:v>
                </c:pt>
                <c:pt idx="3">
                  <c:v>-7.2428177573459589E-3</c:v>
                </c:pt>
                <c:pt idx="4">
                  <c:v>-8.1853670822314567E-3</c:v>
                </c:pt>
                <c:pt idx="5">
                  <c:v>-8.5388074251386975E-3</c:v>
                </c:pt>
                <c:pt idx="6">
                  <c:v>-8.7947337345893883E-3</c:v>
                </c:pt>
                <c:pt idx="7">
                  <c:v>-9.0593916381196092E-3</c:v>
                </c:pt>
                <c:pt idx="8">
                  <c:v>-9.3258872954926839E-3</c:v>
                </c:pt>
                <c:pt idx="9">
                  <c:v>-9.8788308173015787E-3</c:v>
                </c:pt>
              </c:numCache>
            </c:numRef>
          </c:val>
          <c:extLst>
            <c:ext xmlns:c16="http://schemas.microsoft.com/office/drawing/2014/chart" uri="{C3380CC4-5D6E-409C-BE32-E72D297353CC}">
              <c16:uniqueId val="{00000003-C215-46D2-A748-34BD26951EA4}"/>
            </c:ext>
          </c:extLst>
        </c:ser>
        <c:ser>
          <c:idx val="4"/>
          <c:order val="4"/>
          <c:tx>
            <c:strRef>
              <c:f>TIKR_Cálculos!$A$69</c:f>
              <c:strCache>
                <c:ptCount val="1"/>
                <c:pt idx="0">
                  <c:v>Cambios de WC</c:v>
                </c:pt>
              </c:strCache>
            </c:strRef>
          </c:tx>
          <c:spPr>
            <a:solidFill>
              <a:schemeClr val="accent5"/>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TIKR_Cálculos!$B$69:$K$69</c:f>
              <c:numCache>
                <c:formatCode>0%</c:formatCode>
                <c:ptCount val="10"/>
                <c:pt idx="1">
                  <c:v>-8.4247238907188531E-3</c:v>
                </c:pt>
                <c:pt idx="2">
                  <c:v>-2.2037633497202914E-3</c:v>
                </c:pt>
                <c:pt idx="3">
                  <c:v>-2.0169872235646976E-3</c:v>
                </c:pt>
                <c:pt idx="4">
                  <c:v>-1.0619989086177223E-2</c:v>
                </c:pt>
                <c:pt idx="5">
                  <c:v>-3.623761668767768E-4</c:v>
                </c:pt>
                <c:pt idx="6">
                  <c:v>1.0698203160111741E-2</c:v>
                </c:pt>
                <c:pt idx="7">
                  <c:v>-4.1685583391803211E-3</c:v>
                </c:pt>
                <c:pt idx="8">
                  <c:v>1.296899623899109E-3</c:v>
                </c:pt>
                <c:pt idx="9">
                  <c:v>-2.775809762566534E-3</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'2.FCF'!$B$28:$K$28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'2.FCF'!$B$31:$K$31</c:f>
              <c:numCache>
                <c:formatCode>0%</c:formatCode>
                <c:ptCount val="10"/>
                <c:pt idx="0">
                  <c:v>0</c:v>
                </c:pt>
                <c:pt idx="1">
                  <c:v>0.37460063897763579</c:v>
                </c:pt>
                <c:pt idx="2">
                  <c:v>0.76102088167053361</c:v>
                </c:pt>
                <c:pt idx="3">
                  <c:v>0.26935659760087238</c:v>
                </c:pt>
                <c:pt idx="4">
                  <c:v>6.621621621621622E-2</c:v>
                </c:pt>
                <c:pt idx="5">
                  <c:v>0.33695652173913043</c:v>
                </c:pt>
                <c:pt idx="6">
                  <c:v>0</c:v>
                </c:pt>
                <c:pt idx="7">
                  <c:v>0.20441487753250681</c:v>
                </c:pt>
                <c:pt idx="8">
                  <c:v>0.31305903398926654</c:v>
                </c:pt>
                <c:pt idx="9">
                  <c:v>0.27827426810477657</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'2.FCF'!$B$29:$K$29</c:f>
              <c:numCache>
                <c:formatCode>0%</c:formatCode>
                <c:ptCount val="10"/>
                <c:pt idx="0">
                  <c:v>0</c:v>
                </c:pt>
                <c:pt idx="1">
                  <c:v>0</c:v>
                </c:pt>
                <c:pt idx="2">
                  <c:v>0</c:v>
                </c:pt>
                <c:pt idx="3">
                  <c:v>0</c:v>
                </c:pt>
                <c:pt idx="4">
                  <c:v>0.39290540540540542</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10</xdr:row>
      <xdr:rowOff>33618</xdr:rowOff>
    </xdr:from>
    <xdr:to>
      <xdr:col>17</xdr:col>
      <xdr:colOff>11206</xdr:colOff>
      <xdr:row>13</xdr:row>
      <xdr:rowOff>212912</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3608294"/>
          <a:ext cx="717177" cy="1120589"/>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3</xdr:row>
      <xdr:rowOff>291352</xdr:rowOff>
    </xdr:from>
    <xdr:to>
      <xdr:col>17</xdr:col>
      <xdr:colOff>0</xdr:colOff>
      <xdr:row>13</xdr:row>
      <xdr:rowOff>156883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18441" y="1669676"/>
          <a:ext cx="728383" cy="300317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18441" y="4717677"/>
          <a:ext cx="728383" cy="32048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16</xdr:col>
      <xdr:colOff>717177</xdr:colOff>
      <xdr:row>16</xdr:row>
      <xdr:rowOff>0</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18441" y="4717677"/>
          <a:ext cx="717177" cy="73958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627529</xdr:colOff>
      <xdr:row>11</xdr:row>
      <xdr:rowOff>196453</xdr:rowOff>
    </xdr:from>
    <xdr:to>
      <xdr:col>16</xdr:col>
      <xdr:colOff>858441</xdr:colOff>
      <xdr:row>20</xdr:row>
      <xdr:rowOff>392206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2353" y="3804747"/>
          <a:ext cx="1048941" cy="30196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6" name="Conector recto de flecha 5">
          <a:extLst>
            <a:ext uri="{FF2B5EF4-FFF2-40B4-BE49-F238E27FC236}">
              <a16:creationId xmlns:a16="http://schemas.microsoft.com/office/drawing/2014/main" id="{9C51951B-9CDD-4608-9451-FC1BF050A3CC}"/>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9" name="Conector recto de flecha 8">
          <a:extLst>
            <a:ext uri="{FF2B5EF4-FFF2-40B4-BE49-F238E27FC236}">
              <a16:creationId xmlns:a16="http://schemas.microsoft.com/office/drawing/2014/main" id="{201425C9-461A-46B4-984C-000FA8F80E5A}"/>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436215</xdr:colOff>
      <xdr:row>15</xdr:row>
      <xdr:rowOff>21239</xdr:rowOff>
    </xdr:from>
    <xdr:to>
      <xdr:col>16</xdr:col>
      <xdr:colOff>1963137</xdr:colOff>
      <xdr:row>24</xdr:row>
      <xdr:rowOff>304159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156883</xdr:rowOff>
    </xdr:from>
    <xdr:to>
      <xdr:col>16</xdr:col>
      <xdr:colOff>549088</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437971" y="1848971"/>
          <a:ext cx="485588" cy="18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11</xdr:row>
      <xdr:rowOff>179916</xdr:rowOff>
    </xdr:from>
    <xdr:to>
      <xdr:col>5</xdr:col>
      <xdr:colOff>773206</xdr:colOff>
      <xdr:row>16</xdr:row>
      <xdr:rowOff>0</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600451" y="2690034"/>
          <a:ext cx="1548902" cy="138890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37110</xdr:colOff>
      <xdr:row>16</xdr:row>
      <xdr:rowOff>2037</xdr:rowOff>
    </xdr:from>
    <xdr:to>
      <xdr:col>5</xdr:col>
      <xdr:colOff>779318</xdr:colOff>
      <xdr:row>16</xdr:row>
      <xdr:rowOff>13242</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5595228" y="4080978"/>
          <a:ext cx="1560237" cy="1120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49" dataDxfId="48" tableBorderDxfId="47">
  <tableColumns count="16">
    <tableColumn id="1" xr3:uid="{A6785006-F8E5-4C64-9FD0-27A59A5D5C99}" name="Columna1" dataDxfId="46" totalsRowDxfId="45"/>
    <tableColumn id="2" xr3:uid="{981C2CA3-CAE8-4430-949B-243AE4AAF960}" name="Columna2" dataDxfId="44" totalsRowDxfId="43" dataCellStyle="Porcentaje"/>
    <tableColumn id="3" xr3:uid="{05B4E26C-7803-4FE4-9783-4211E3EEA32B}" name="Columna3" dataDxfId="42" totalsRowDxfId="41" dataCellStyle="Porcentaje"/>
    <tableColumn id="4" xr3:uid="{8DA5225F-2555-474C-8C27-E7A1FC21344A}" name="Columna4" dataDxfId="40" totalsRowDxfId="39" dataCellStyle="Porcentaje"/>
    <tableColumn id="5" xr3:uid="{19F8591C-4479-413D-B705-650B30DEF405}" name="Columna5" dataDxfId="38" totalsRowDxfId="37" dataCellStyle="Porcentaje"/>
    <tableColumn id="6" xr3:uid="{1941A256-8DCA-4A7E-AD52-B81EA09BA49A}" name="Columna6" dataDxfId="36" totalsRowDxfId="35" dataCellStyle="Porcentaje"/>
    <tableColumn id="7" xr3:uid="{CF06C5C2-7817-4507-BFA7-43D9A7684B99}" name="Columna7" dataDxfId="34" totalsRowDxfId="33" dataCellStyle="Porcentaje"/>
    <tableColumn id="8" xr3:uid="{A6CC500A-793E-4AC7-A805-E9B1D5055605}" name="Columna8" dataDxfId="32" totalsRowDxfId="31" dataCellStyle="Porcentaje"/>
    <tableColumn id="26" xr3:uid="{0B545C41-E67D-4483-9C98-FA37E48CE39B}" name="Columna14" dataDxfId="30" totalsRowDxfId="29" dataCellStyle="Porcentaje">
      <calculatedColumnFormula>IFERROR(YEAR(VLOOKUP("Income Statement*",'7.TIKR_IS'!$A:$K,COLUMN(I3),FALSE)),H2+1)</calculatedColumnFormula>
    </tableColumn>
    <tableColumn id="27" xr3:uid="{152C1E1C-8951-461E-9BC4-D433CDB80813}" name="Columna15" dataDxfId="28" totalsRowDxfId="27" dataCellStyle="Porcentaje">
      <calculatedColumnFormula>IFERROR(YEAR(VLOOKUP("Income Statement*",'7.TIKR_IS'!$A:$K,COLUMN(J3),FALSE)),I2+1)</calculatedColumnFormula>
    </tableColumn>
    <tableColumn id="28" xr3:uid="{8F4400F9-2BC0-43E5-A7FC-855F8DABA093}" name="Columna16" dataDxfId="26" totalsRowDxfId="25" dataCellStyle="Porcentaje">
      <calculatedColumnFormula>IFERROR(YEAR(VLOOKUP("Income Statement*",'7.TIKR_IS'!$A:$K,COLUMN(K3),FALSE)),J2+1)</calculatedColumnFormula>
    </tableColumn>
    <tableColumn id="9" xr3:uid="{6B4891E9-5875-43D0-AAAA-C9094399640F}" name="Columna9" dataDxfId="24" totalsRowDxfId="23" dataCellStyle="Porcentaje"/>
    <tableColumn id="10" xr3:uid="{41432F5A-0AFB-469C-9CA5-86091AA8061A}" name="Columna10" dataDxfId="22" totalsRowDxfId="21" dataCellStyle="Porcentaje"/>
    <tableColumn id="11" xr3:uid="{A781D52B-7709-4D76-9137-322146222404}" name="Columna11" dataDxfId="20" totalsRowDxfId="19" dataCellStyle="Porcentaje"/>
    <tableColumn id="12" xr3:uid="{51F4EFE8-3D05-4C21-A43C-A2D80156AEF7}" name="Columna12" dataDxfId="18" totalsRowDxfId="17" dataCellStyle="Porcentaje"/>
    <tableColumn id="13" xr3:uid="{A5653B19-9C81-444D-A0FD-CC4A9CE1A8AA}" name="Columna13" dataDxfId="16" totalsRowDxfId="15"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9"/>
  <sheetViews>
    <sheetView showGridLines="0" zoomScale="85" zoomScaleNormal="85" workbookViewId="0">
      <selection activeCell="B16" sqref="B16"/>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77" t="s">
        <v>160</v>
      </c>
    </row>
    <row r="3" spans="2:2" ht="10" customHeight="1" x14ac:dyDescent="0.2">
      <c r="B3" s="20"/>
    </row>
    <row r="4" spans="2:2" ht="17" customHeight="1" x14ac:dyDescent="0.2">
      <c r="B4" s="99" t="s">
        <v>219</v>
      </c>
    </row>
    <row r="5" spans="2:2" ht="10" customHeight="1" x14ac:dyDescent="0.2">
      <c r="B5" s="99"/>
    </row>
    <row r="6" spans="2:2" ht="17" customHeight="1" x14ac:dyDescent="0.2">
      <c r="B6" s="99" t="s">
        <v>156</v>
      </c>
    </row>
    <row r="7" spans="2:2" ht="10" customHeight="1" x14ac:dyDescent="0.2">
      <c r="B7" s="99"/>
    </row>
    <row r="8" spans="2:2" ht="17" customHeight="1" x14ac:dyDescent="0.2">
      <c r="B8" s="99" t="s">
        <v>220</v>
      </c>
    </row>
    <row r="9" spans="2:2" ht="10" customHeight="1" x14ac:dyDescent="0.2">
      <c r="B9" s="99"/>
    </row>
    <row r="10" spans="2:2" ht="17" customHeight="1" x14ac:dyDescent="0.2">
      <c r="B10" s="100" t="s">
        <v>132</v>
      </c>
    </row>
    <row r="11" spans="2:2" ht="10" customHeight="1" x14ac:dyDescent="0.2">
      <c r="B11" s="100"/>
    </row>
    <row r="12" spans="2:2" ht="34" x14ac:dyDescent="0.2">
      <c r="B12" s="235" t="s">
        <v>177</v>
      </c>
    </row>
    <row r="13" spans="2:2" ht="10" customHeight="1" x14ac:dyDescent="0.2">
      <c r="B13" s="100"/>
    </row>
    <row r="14" spans="2:2" ht="17" customHeight="1" x14ac:dyDescent="0.2">
      <c r="B14" s="100" t="s">
        <v>180</v>
      </c>
    </row>
    <row r="15" spans="2:2" ht="16" x14ac:dyDescent="0.2">
      <c r="B15" s="53" t="s">
        <v>154</v>
      </c>
    </row>
    <row r="16" spans="2:2" ht="22" x14ac:dyDescent="0.2">
      <c r="B16" s="177" t="s">
        <v>222</v>
      </c>
    </row>
    <row r="17" spans="2:2" ht="10" customHeight="1" x14ac:dyDescent="0.2">
      <c r="B17" s="53"/>
    </row>
    <row r="18" spans="2:2" ht="18" x14ac:dyDescent="0.2">
      <c r="B18" s="241" t="s">
        <v>212</v>
      </c>
    </row>
    <row r="19" spans="2:2" ht="10" customHeight="1" x14ac:dyDescent="0.2">
      <c r="B19" s="241"/>
    </row>
    <row r="20" spans="2:2" ht="18" x14ac:dyDescent="0.2">
      <c r="B20" s="241" t="s">
        <v>213</v>
      </c>
    </row>
    <row r="21" spans="2:2" ht="10" customHeight="1" x14ac:dyDescent="0.2">
      <c r="B21" s="241"/>
    </row>
    <row r="22" spans="2:2" ht="17" customHeight="1" x14ac:dyDescent="0.2">
      <c r="B22" s="99" t="s">
        <v>223</v>
      </c>
    </row>
    <row r="23" spans="2:2" ht="10" customHeight="1" x14ac:dyDescent="0.2">
      <c r="B23" s="53"/>
    </row>
    <row r="24" spans="2:2" ht="17" customHeight="1" x14ac:dyDescent="0.2">
      <c r="B24" s="99" t="s">
        <v>214</v>
      </c>
    </row>
    <row r="25" spans="2:2" ht="8" customHeight="1" x14ac:dyDescent="0.2">
      <c r="B25" s="53"/>
    </row>
    <row r="26" spans="2:2" ht="17" customHeight="1" x14ac:dyDescent="0.2"/>
    <row r="27" spans="2:2" x14ac:dyDescent="0.2"/>
    <row r="28" spans="2:2" x14ac:dyDescent="0.2"/>
    <row r="29" spans="2:2"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showGridLines="0" zoomScale="77" zoomScaleNormal="77" workbookViewId="0">
      <pane xSplit="1" ySplit="2" topLeftCell="B3" activePane="bottomRight" state="frozen"/>
      <selection pane="topRight" activeCell="B1" sqref="B1"/>
      <selection pane="bottomLeft" activeCell="A3" sqref="A3"/>
      <selection pane="bottomRight" activeCell="K25" sqref="K25"/>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50" customHeight="1" x14ac:dyDescent="0.2">
      <c r="A1"/>
      <c r="B1" s="17" t="s">
        <v>68</v>
      </c>
      <c r="C1" s="3"/>
      <c r="D1" s="3"/>
      <c r="E1" s="3"/>
      <c r="F1" s="3"/>
      <c r="G1" s="3"/>
      <c r="H1" s="3"/>
      <c r="I1" s="3"/>
      <c r="J1" s="3"/>
      <c r="K1" s="3"/>
      <c r="L1" s="3"/>
      <c r="M1" s="3"/>
      <c r="N1" s="3"/>
      <c r="O1" s="313" t="e" vm="1">
        <v>#VALUE!</v>
      </c>
      <c r="P1" s="313"/>
      <c r="Q1"/>
      <c r="R1"/>
      <c r="S1" s="3"/>
      <c r="T1" s="1"/>
      <c r="U1" s="1"/>
    </row>
    <row r="2" spans="1:22" ht="35" customHeight="1" x14ac:dyDescent="0.2">
      <c r="A2" s="103" t="s">
        <v>66</v>
      </c>
      <c r="B2" s="55">
        <v>2016</v>
      </c>
      <c r="C2" s="55">
        <f>IFERROR(IF(VLOOKUP("Income Statement*",'7.TIKR_IS'!$A:$K,COLUMN(C3),FALSE)="","",IFERROR(YEAR(VLOOKUP("Income Statement*",'7.TIKR_IS'!$A:$K,COLUMN(C3),FALSE)),B2+1)),"")</f>
        <v>2017</v>
      </c>
      <c r="D2" s="55">
        <f>IFERROR(IF(VLOOKUP("Income Statement*",'7.TIKR_IS'!$A:$K,COLUMN(D3),FALSE)="","",IFERROR(YEAR(VLOOKUP("Income Statement*",'7.TIKR_IS'!$A:$K,COLUMN(D3),FALSE)),C2+1)),"")</f>
        <v>2018</v>
      </c>
      <c r="E2" s="55">
        <f>IFERROR(IF(VLOOKUP("Income Statement*",'7.TIKR_IS'!$A:$K,COLUMN(E3),FALSE)="","",IFERROR(YEAR(VLOOKUP("Income Statement*",'7.TIKR_IS'!$A:$K,COLUMN(E3),FALSE)),D2+1)),"")</f>
        <v>2019</v>
      </c>
      <c r="F2" s="55">
        <f>IFERROR(IF(VLOOKUP("Income Statement*",'7.TIKR_IS'!$A:$K,COLUMN(F3),FALSE)="","",IFERROR(YEAR(VLOOKUP("Income Statement*",'7.TIKR_IS'!$A:$K,COLUMN(F3),FALSE)),E2+1)),"")</f>
        <v>2020</v>
      </c>
      <c r="G2" s="55">
        <f>IFERROR(IF(VLOOKUP("Income Statement*",'7.TIKR_IS'!$A:$K,COLUMN(G3),FALSE)="","",IFERROR(YEAR(VLOOKUP("Income Statement*",'7.TIKR_IS'!$A:$K,COLUMN(G3),FALSE)),F2+1)),"")</f>
        <v>2021</v>
      </c>
      <c r="H2" s="55">
        <f>IFERROR(IF(VLOOKUP("Income Statement*",'7.TIKR_IS'!$A:$K,COLUMN(H3),FALSE)="","",IFERROR(YEAR(VLOOKUP("Income Statement*",'7.TIKR_IS'!$A:$K,COLUMN(H3),FALSE)),G2+1)),"")</f>
        <v>2022</v>
      </c>
      <c r="I2" s="55">
        <f>IFERROR(IF(VLOOKUP("Income Statement*",'7.TIKR_IS'!$A:$K,COLUMN(I3),FALSE)="","",IFERROR(YEAR(VLOOKUP("Income Statement*",'7.TIKR_IS'!$A:$K,COLUMN(I3),FALSE)),H2+1)),"")</f>
        <v>2023</v>
      </c>
      <c r="J2" s="55">
        <f>IFERROR(IF(VLOOKUP("Income Statement*",'7.TIKR_IS'!$A:$K,COLUMN(J3),FALSE)="","",IFERROR(YEAR(VLOOKUP("Income Statement*",'7.TIKR_IS'!$A:$K,COLUMN(J3),FALSE)),I2+1)),"")</f>
        <v>2024</v>
      </c>
      <c r="K2" s="55">
        <f>IFERROR(IF(VLOOKUP("Income Statement*",'7.TIKR_IS'!$A:$K,COLUMN(K3),FALSE)="","",IFERROR(YEAR(VLOOKUP("Income Statement*",'7.TIKR_IS'!$A:$K,COLUMN(K3),FALSE)),J2+1)),"")</f>
        <v>2025</v>
      </c>
      <c r="L2" s="8" t="str">
        <f>IF(K2&lt;&gt;"",(K2+1)&amp;"e","")</f>
        <v>2026e</v>
      </c>
      <c r="M2" s="8" t="str">
        <f>IF(L2&lt;&gt;"",(LEFT(L2,4)+1)&amp;"e","")</f>
        <v>2027e</v>
      </c>
      <c r="N2" s="8" t="str">
        <f t="shared" ref="N2:P2" si="0">IF(M2&lt;&gt;"",(LEFT(M2,4)+1)&amp;"e","")</f>
        <v>2028e</v>
      </c>
      <c r="O2" s="8" t="str">
        <f t="shared" si="0"/>
        <v>2029e</v>
      </c>
      <c r="P2" s="8" t="str">
        <f t="shared" si="0"/>
        <v>2030e</v>
      </c>
      <c r="R2" s="263"/>
      <c r="S2" s="264" t="str">
        <f>"Promedio "&amp;CHAR(10)&amp;B2&amp;" - "&amp;K2</f>
        <v>Promedio 
2016 - 2025</v>
      </c>
      <c r="T2" s="27"/>
      <c r="U2" s="27"/>
      <c r="V2" s="27"/>
    </row>
    <row r="3" spans="1:22" ht="25" customHeight="1" thickBot="1" x14ac:dyDescent="0.25">
      <c r="A3" s="112" t="s">
        <v>7</v>
      </c>
      <c r="B3" s="105">
        <v>118719</v>
      </c>
      <c r="C3" s="56">
        <v>129025</v>
      </c>
      <c r="D3" s="56">
        <v>141576</v>
      </c>
      <c r="E3" s="56">
        <v>152703</v>
      </c>
      <c r="F3" s="56">
        <v>166761</v>
      </c>
      <c r="G3" s="56">
        <v>195929</v>
      </c>
      <c r="H3" s="56">
        <v>226954</v>
      </c>
      <c r="I3" s="56">
        <v>242290</v>
      </c>
      <c r="J3" s="56">
        <v>254453</v>
      </c>
      <c r="K3" s="56">
        <v>275235</v>
      </c>
      <c r="L3" s="192">
        <f>IFERROR(K3*(1+L4),"")</f>
        <v>302374.52865021001</v>
      </c>
      <c r="M3" s="9">
        <f t="shared" ref="M3:P3" si="1">IFERROR(L3*(1+M4),"")</f>
        <v>332190.14869633829</v>
      </c>
      <c r="N3" s="9">
        <f t="shared" si="1"/>
        <v>364945.73595036409</v>
      </c>
      <c r="O3" s="9">
        <f t="shared" si="1"/>
        <v>400931.18568094663</v>
      </c>
      <c r="P3" s="113">
        <f t="shared" si="1"/>
        <v>440464.97826019971</v>
      </c>
      <c r="Q3" s="6"/>
      <c r="R3" s="64" t="s">
        <v>199</v>
      </c>
      <c r="S3" s="260">
        <f>IFERROR(AVERAGE(C4:K4),"")</f>
        <v>9.8604932694642849E-2</v>
      </c>
      <c r="T3" s="27"/>
      <c r="U3" s="27"/>
      <c r="V3" s="27"/>
    </row>
    <row r="4" spans="1:22" ht="25" customHeight="1" thickTop="1" thickBot="1" x14ac:dyDescent="0.25">
      <c r="A4" s="67" t="s">
        <v>11</v>
      </c>
      <c r="B4" s="106"/>
      <c r="C4" s="10">
        <f t="shared" ref="C4:H4" si="2">IFERROR((C3-B3)/B3,"")</f>
        <v>8.6810030407938069E-2</v>
      </c>
      <c r="D4" s="10">
        <f t="shared" si="2"/>
        <v>9.7275721759348968E-2</v>
      </c>
      <c r="E4" s="10">
        <f t="shared" si="2"/>
        <v>7.8593829462620779E-2</v>
      </c>
      <c r="F4" s="10">
        <f>IFERROR((F3-E3)/E3,"")</f>
        <v>9.2061059704131545E-2</v>
      </c>
      <c r="G4" s="10">
        <f t="shared" si="2"/>
        <v>0.1749090015051481</v>
      </c>
      <c r="H4" s="10">
        <f t="shared" si="2"/>
        <v>0.15834817714580282</v>
      </c>
      <c r="I4" s="10">
        <f t="shared" ref="I4" si="3">IFERROR((I3-H3)/H3,"")</f>
        <v>6.7573164606043512E-2</v>
      </c>
      <c r="J4" s="10">
        <f t="shared" ref="J4" si="4">IFERROR((J3-I3)/I3,"")</f>
        <v>5.0200173345990341E-2</v>
      </c>
      <c r="K4" s="10">
        <f t="shared" ref="K4" si="5">IFERROR((K3-J3)/J3,"")</f>
        <v>8.1673236314761463E-2</v>
      </c>
      <c r="L4" s="256">
        <f>S3</f>
        <v>9.8604932694642849E-2</v>
      </c>
      <c r="M4" s="257">
        <f>L4</f>
        <v>9.8604932694642849E-2</v>
      </c>
      <c r="N4" s="257">
        <f t="shared" ref="N4:P4" si="6">M4</f>
        <v>9.8604932694642849E-2</v>
      </c>
      <c r="O4" s="257">
        <f t="shared" si="6"/>
        <v>9.8604932694642849E-2</v>
      </c>
      <c r="P4" s="258">
        <f t="shared" si="6"/>
        <v>9.8604932694642849E-2</v>
      </c>
      <c r="Q4" s="6"/>
      <c r="R4" s="65" t="s">
        <v>57</v>
      </c>
      <c r="S4" s="261">
        <f>IFERROR(AVERAGE(B10:K10),"")</f>
        <v>3.368881897130873E-2</v>
      </c>
      <c r="T4" s="27"/>
      <c r="U4" s="27"/>
      <c r="V4" s="27"/>
    </row>
    <row r="5" spans="1:22" ht="25" customHeight="1" thickTop="1" x14ac:dyDescent="0.2">
      <c r="A5" s="115" t="s">
        <v>2</v>
      </c>
      <c r="B5" s="107">
        <f t="shared" ref="B5:H5" si="7">B9-B8</f>
        <v>3672</v>
      </c>
      <c r="C5" s="84">
        <f t="shared" si="7"/>
        <v>4111</v>
      </c>
      <c r="D5" s="84">
        <f t="shared" si="7"/>
        <v>4480</v>
      </c>
      <c r="E5" s="84">
        <f t="shared" si="7"/>
        <v>4737</v>
      </c>
      <c r="F5" s="84">
        <f t="shared" si="7"/>
        <v>5435</v>
      </c>
      <c r="G5" s="84">
        <f t="shared" si="7"/>
        <v>6792</v>
      </c>
      <c r="H5" s="84">
        <f t="shared" si="7"/>
        <v>7911</v>
      </c>
      <c r="I5" s="84">
        <f t="shared" ref="I5:K5" si="8">I9-I8</f>
        <v>8505</v>
      </c>
      <c r="J5" s="84">
        <f t="shared" si="8"/>
        <v>9285</v>
      </c>
      <c r="K5" s="84">
        <f t="shared" si="8"/>
        <v>10383</v>
      </c>
      <c r="L5" s="107">
        <f>IFERROR(L9-L8,"")</f>
        <v>10186.640757231729</v>
      </c>
      <c r="M5" s="84">
        <f t="shared" ref="M5:P5" si="9">IFERROR(M9-M8,"")</f>
        <v>11191.093783483069</v>
      </c>
      <c r="N5" s="84">
        <f t="shared" si="9"/>
        <v>12294.590832782853</v>
      </c>
      <c r="O5" s="84">
        <f t="shared" si="9"/>
        <v>13506.898134357578</v>
      </c>
      <c r="P5" s="116">
        <f t="shared" si="9"/>
        <v>14838.744915809304</v>
      </c>
      <c r="Q5" s="6"/>
      <c r="R5" s="64" t="s">
        <v>56</v>
      </c>
      <c r="S5" s="260">
        <f>IFERROR(AVERAGE(B17:K17),"")</f>
        <v>0.26682824516880826</v>
      </c>
      <c r="T5" s="27"/>
      <c r="U5" s="27"/>
      <c r="V5" s="27"/>
    </row>
    <row r="6" spans="1:22" ht="25" customHeight="1" x14ac:dyDescent="0.2">
      <c r="A6" s="67" t="s">
        <v>8</v>
      </c>
      <c r="B6" s="106">
        <f t="shared" ref="B6:H6" si="10">IFERROR((B5/B3),"")</f>
        <v>3.0930179667955426E-2</v>
      </c>
      <c r="C6" s="10">
        <f t="shared" si="10"/>
        <v>3.1862042239875994E-2</v>
      </c>
      <c r="D6" s="10">
        <f t="shared" si="10"/>
        <v>3.164378143188111E-2</v>
      </c>
      <c r="E6" s="10">
        <f t="shared" si="10"/>
        <v>3.1021001552032378E-2</v>
      </c>
      <c r="F6" s="10">
        <f t="shared" si="10"/>
        <v>3.259155318089961E-2</v>
      </c>
      <c r="G6" s="10">
        <f t="shared" si="10"/>
        <v>3.4665618667986869E-2</v>
      </c>
      <c r="H6" s="10">
        <f t="shared" si="10"/>
        <v>3.4857283854878081E-2</v>
      </c>
      <c r="I6" s="10">
        <f t="shared" ref="I6:K6" si="11">IFERROR((I5/I3),"")</f>
        <v>3.5102563044285773E-2</v>
      </c>
      <c r="J6" s="10">
        <f t="shared" si="11"/>
        <v>3.6490039417888566E-2</v>
      </c>
      <c r="K6" s="10">
        <f t="shared" si="11"/>
        <v>3.7724126655403561E-2</v>
      </c>
      <c r="L6" s="106">
        <f>IFERROR(L5/L3,"")</f>
        <v>3.368881897130873E-2</v>
      </c>
      <c r="M6" s="10">
        <f>IFERROR(M5/M3,"")</f>
        <v>3.368881897130873E-2</v>
      </c>
      <c r="N6" s="10">
        <f>IFERROR(N5/N3,"")</f>
        <v>3.368881897130873E-2</v>
      </c>
      <c r="O6" s="10">
        <f>IFERROR(O5/O3,"")</f>
        <v>3.368881897130873E-2</v>
      </c>
      <c r="P6" s="114">
        <f>IFERROR(P5/P3,"")</f>
        <v>3.368881897130873E-2</v>
      </c>
      <c r="Q6" s="6"/>
      <c r="R6" s="66" t="s">
        <v>65</v>
      </c>
      <c r="S6" s="262">
        <f>IFERROR(AVERAGE(C26:K26),"")</f>
        <v>8.8885341794232007E-4</v>
      </c>
      <c r="T6" s="27"/>
      <c r="U6" s="27"/>
      <c r="V6" s="27"/>
    </row>
    <row r="7" spans="1:22" ht="25" customHeight="1" x14ac:dyDescent="0.2">
      <c r="A7" s="67" t="s">
        <v>11</v>
      </c>
      <c r="B7" s="106"/>
      <c r="C7" s="10">
        <f>IFERROR((C5-B5)/B5,"")</f>
        <v>0.11955337690631808</v>
      </c>
      <c r="D7" s="10">
        <f t="shared" ref="D7:P7" si="12">IFERROR((D5-C5)/C5,"")</f>
        <v>8.9759182680612989E-2</v>
      </c>
      <c r="E7" s="10">
        <f t="shared" si="12"/>
        <v>5.7366071428571426E-2</v>
      </c>
      <c r="F7" s="10">
        <f t="shared" si="12"/>
        <v>0.14735064386742663</v>
      </c>
      <c r="G7" s="10">
        <f t="shared" si="12"/>
        <v>0.24967801287948482</v>
      </c>
      <c r="H7" s="10">
        <f t="shared" si="12"/>
        <v>0.16475265017667845</v>
      </c>
      <c r="I7" s="10">
        <f t="shared" si="12"/>
        <v>7.5085324232081918E-2</v>
      </c>
      <c r="J7" s="10">
        <f t="shared" si="12"/>
        <v>9.1710758377425039E-2</v>
      </c>
      <c r="K7" s="10">
        <f t="shared" si="12"/>
        <v>0.11825525040387722</v>
      </c>
      <c r="L7" s="106">
        <f t="shared" si="12"/>
        <v>-1.891160962807191E-2</v>
      </c>
      <c r="M7" s="10">
        <f t="shared" si="12"/>
        <v>9.8604932694642808E-2</v>
      </c>
      <c r="N7" s="10">
        <f t="shared" si="12"/>
        <v>9.8604932694642808E-2</v>
      </c>
      <c r="O7" s="10">
        <f t="shared" si="12"/>
        <v>9.8604932694642752E-2</v>
      </c>
      <c r="P7" s="114">
        <f t="shared" si="12"/>
        <v>9.8604932694642863E-2</v>
      </c>
      <c r="Q7" s="6"/>
      <c r="R7" s="6"/>
      <c r="S7" s="57"/>
      <c r="T7" s="27"/>
      <c r="U7" s="27"/>
      <c r="V7" s="27"/>
    </row>
    <row r="8" spans="1:22" ht="25" customHeight="1" x14ac:dyDescent="0.2">
      <c r="A8" s="117" t="s">
        <v>198</v>
      </c>
      <c r="B8" s="108" t="s">
        <v>401</v>
      </c>
      <c r="C8" s="85" t="s">
        <v>401</v>
      </c>
      <c r="D8" s="85" t="s">
        <v>401</v>
      </c>
      <c r="E8" s="85" t="s">
        <v>401</v>
      </c>
      <c r="F8" s="85" t="s">
        <v>401</v>
      </c>
      <c r="G8" s="85" t="s">
        <v>401</v>
      </c>
      <c r="H8" s="85" t="s">
        <v>401</v>
      </c>
      <c r="I8" s="85" t="s">
        <v>401</v>
      </c>
      <c r="J8" s="85" t="s">
        <v>401</v>
      </c>
      <c r="K8" s="85" t="s">
        <v>401</v>
      </c>
      <c r="L8" s="110">
        <f>IFERROR(K8*(1+L4),"")</f>
        <v>0</v>
      </c>
      <c r="M8" s="86">
        <f t="shared" ref="M8:P8" si="13">IFERROR(L8*(1+M4),"")</f>
        <v>0</v>
      </c>
      <c r="N8" s="86">
        <f t="shared" si="13"/>
        <v>0</v>
      </c>
      <c r="O8" s="86">
        <f t="shared" si="13"/>
        <v>0</v>
      </c>
      <c r="P8" s="118">
        <f t="shared" si="13"/>
        <v>0</v>
      </c>
      <c r="Q8" s="6"/>
      <c r="R8" s="6"/>
      <c r="S8" s="7"/>
      <c r="T8" s="27"/>
      <c r="U8" s="27"/>
      <c r="V8" s="27"/>
    </row>
    <row r="9" spans="1:22" ht="25" customHeight="1" thickBot="1" x14ac:dyDescent="0.25">
      <c r="A9" s="112" t="s">
        <v>3</v>
      </c>
      <c r="B9" s="109">
        <v>3672</v>
      </c>
      <c r="C9" s="87">
        <v>4111</v>
      </c>
      <c r="D9" s="87">
        <v>4480</v>
      </c>
      <c r="E9" s="87">
        <v>4737</v>
      </c>
      <c r="F9" s="87">
        <v>5435</v>
      </c>
      <c r="G9" s="87">
        <v>6792</v>
      </c>
      <c r="H9" s="87">
        <v>7911</v>
      </c>
      <c r="I9" s="87">
        <v>8505</v>
      </c>
      <c r="J9" s="87">
        <v>9285</v>
      </c>
      <c r="K9" s="87">
        <v>10383</v>
      </c>
      <c r="L9" s="107">
        <f>IFERROR(L3*L10,"")</f>
        <v>10186.640757231729</v>
      </c>
      <c r="M9" s="84">
        <f t="shared" ref="M9:P9" si="14">IFERROR(M3*M10,"")</f>
        <v>11191.093783483069</v>
      </c>
      <c r="N9" s="84">
        <f t="shared" si="14"/>
        <v>12294.590832782853</v>
      </c>
      <c r="O9" s="84">
        <f t="shared" si="14"/>
        <v>13506.898134357578</v>
      </c>
      <c r="P9" s="116">
        <f t="shared" si="14"/>
        <v>14838.744915809304</v>
      </c>
      <c r="Q9" s="6"/>
      <c r="R9" s="6"/>
      <c r="T9" s="27"/>
      <c r="U9" s="27"/>
      <c r="V9" s="27"/>
    </row>
    <row r="10" spans="1:22" ht="25" customHeight="1" thickTop="1" thickBot="1" x14ac:dyDescent="0.25">
      <c r="A10" s="67" t="s">
        <v>9</v>
      </c>
      <c r="B10" s="106">
        <f t="shared" ref="B10" si="15">IFERROR((B9/B3),"")</f>
        <v>3.0930179667955426E-2</v>
      </c>
      <c r="C10" s="10">
        <f t="shared" ref="C10:K10" si="16">IFERROR((C9/C3),"")</f>
        <v>3.1862042239875994E-2</v>
      </c>
      <c r="D10" s="10">
        <f t="shared" si="16"/>
        <v>3.164378143188111E-2</v>
      </c>
      <c r="E10" s="10">
        <f t="shared" si="16"/>
        <v>3.1021001552032378E-2</v>
      </c>
      <c r="F10" s="10">
        <f t="shared" si="16"/>
        <v>3.259155318089961E-2</v>
      </c>
      <c r="G10" s="10">
        <f t="shared" si="16"/>
        <v>3.4665618667986869E-2</v>
      </c>
      <c r="H10" s="10">
        <f t="shared" si="16"/>
        <v>3.4857283854878081E-2</v>
      </c>
      <c r="I10" s="10">
        <f t="shared" si="16"/>
        <v>3.5102563044285773E-2</v>
      </c>
      <c r="J10" s="10">
        <f t="shared" si="16"/>
        <v>3.6490039417888566E-2</v>
      </c>
      <c r="K10" s="10">
        <f t="shared" si="16"/>
        <v>3.7724126655403561E-2</v>
      </c>
      <c r="L10" s="256">
        <f>S4</f>
        <v>3.368881897130873E-2</v>
      </c>
      <c r="M10" s="257">
        <f>L10</f>
        <v>3.368881897130873E-2</v>
      </c>
      <c r="N10" s="257">
        <f t="shared" ref="N10:P10" si="17">M10</f>
        <v>3.368881897130873E-2</v>
      </c>
      <c r="O10" s="257">
        <f t="shared" si="17"/>
        <v>3.368881897130873E-2</v>
      </c>
      <c r="P10" s="258">
        <f t="shared" si="17"/>
        <v>3.368881897130873E-2</v>
      </c>
      <c r="Q10" s="259"/>
      <c r="R10" s="6"/>
      <c r="S10" s="255"/>
      <c r="T10" s="27"/>
      <c r="U10" s="27"/>
      <c r="V10" s="27"/>
    </row>
    <row r="11" spans="1:22" ht="25" customHeight="1" thickTop="1" x14ac:dyDescent="0.2">
      <c r="A11" s="67" t="s">
        <v>11</v>
      </c>
      <c r="B11" s="106"/>
      <c r="C11" s="10">
        <f>IFERROR((C9-B9)/B9,"")</f>
        <v>0.11955337690631808</v>
      </c>
      <c r="D11" s="10">
        <f t="shared" ref="D11:P11" si="18">IFERROR((D9-C9)/C9,"")</f>
        <v>8.9759182680612989E-2</v>
      </c>
      <c r="E11" s="10">
        <f t="shared" si="18"/>
        <v>5.7366071428571426E-2</v>
      </c>
      <c r="F11" s="10">
        <f t="shared" si="18"/>
        <v>0.14735064386742663</v>
      </c>
      <c r="G11" s="10">
        <f t="shared" si="18"/>
        <v>0.24967801287948482</v>
      </c>
      <c r="H11" s="10">
        <f t="shared" si="18"/>
        <v>0.16475265017667845</v>
      </c>
      <c r="I11" s="10">
        <f t="shared" si="18"/>
        <v>7.5085324232081918E-2</v>
      </c>
      <c r="J11" s="10">
        <f t="shared" si="18"/>
        <v>9.1710758377425039E-2</v>
      </c>
      <c r="K11" s="10">
        <f t="shared" si="18"/>
        <v>0.11825525040387722</v>
      </c>
      <c r="L11" s="106">
        <f t="shared" si="18"/>
        <v>-1.891160962807191E-2</v>
      </c>
      <c r="M11" s="10">
        <f t="shared" si="18"/>
        <v>9.8604932694642808E-2</v>
      </c>
      <c r="N11" s="10">
        <f t="shared" si="18"/>
        <v>9.8604932694642808E-2</v>
      </c>
      <c r="O11" s="10">
        <f t="shared" si="18"/>
        <v>9.8604932694642752E-2</v>
      </c>
      <c r="P11" s="114">
        <f t="shared" si="18"/>
        <v>9.8604932694642863E-2</v>
      </c>
      <c r="Q11" s="6"/>
      <c r="R11" s="6"/>
      <c r="S11" s="255"/>
      <c r="T11" s="27"/>
      <c r="U11" s="27"/>
      <c r="V11" s="27"/>
    </row>
    <row r="12" spans="1:22" ht="25" customHeight="1" x14ac:dyDescent="0.2">
      <c r="A12" s="269" t="s">
        <v>197</v>
      </c>
      <c r="B12" s="108">
        <v>-133</v>
      </c>
      <c r="C12" s="85">
        <v>-134</v>
      </c>
      <c r="D12" s="85">
        <v>-159</v>
      </c>
      <c r="E12" s="85">
        <v>-150</v>
      </c>
      <c r="F12" s="85">
        <v>-160</v>
      </c>
      <c r="G12" s="85">
        <v>-171</v>
      </c>
      <c r="H12" s="85">
        <v>-158</v>
      </c>
      <c r="I12" s="85">
        <v>-160</v>
      </c>
      <c r="J12" s="85">
        <v>-169</v>
      </c>
      <c r="K12" s="85">
        <v>-154</v>
      </c>
      <c r="L12" s="110">
        <f>IFERROR(-TIKR_Cálculos!$B$27*SUM('3.ROIC'!L6:L7),"")</f>
        <v>-76.732744001279244</v>
      </c>
      <c r="M12" s="86">
        <f>IFERROR(-TIKR_Cálculos!$B$27*SUM('3.ROIC'!M6:M7),"")</f>
        <v>-84.29897105900065</v>
      </c>
      <c r="N12" s="86">
        <f>IFERROR(-TIKR_Cálculos!$B$27*SUM('3.ROIC'!N6:N7),"")</f>
        <v>-92.611265426501035</v>
      </c>
      <c r="O12" s="86">
        <f>IFERROR(-TIKR_Cálculos!$B$27*SUM('3.ROIC'!O6:O7),"")</f>
        <v>-101.74319302064686</v>
      </c>
      <c r="P12" s="118">
        <f>IFERROR(-TIKR_Cálculos!$B$27*SUM('3.ROIC'!P6:P7),"")</f>
        <v>-111.77557372058581</v>
      </c>
      <c r="Q12" s="6"/>
      <c r="R12" s="6"/>
      <c r="S12" s="255"/>
      <c r="T12" s="27"/>
      <c r="U12" s="27"/>
      <c r="V12" s="27"/>
    </row>
    <row r="13" spans="1:22" ht="25" customHeight="1" x14ac:dyDescent="0.2">
      <c r="A13" s="269" t="s">
        <v>200</v>
      </c>
      <c r="B13" s="108">
        <v>41</v>
      </c>
      <c r="C13" s="85">
        <v>50</v>
      </c>
      <c r="D13" s="85">
        <v>75</v>
      </c>
      <c r="E13" s="85">
        <v>126</v>
      </c>
      <c r="F13" s="85">
        <v>89</v>
      </c>
      <c r="G13" s="85">
        <v>41</v>
      </c>
      <c r="H13" s="85">
        <v>61</v>
      </c>
      <c r="I13" s="85">
        <v>470</v>
      </c>
      <c r="J13" s="85">
        <v>533</v>
      </c>
      <c r="K13" s="85">
        <v>469</v>
      </c>
      <c r="L13" s="110">
        <f>IFERROR(TIKR_Cálculos!$B$26*'3.ROIC'!L5,"")</f>
        <v>106.001605075344</v>
      </c>
      <c r="M13" s="86">
        <f>IFERROR(TIKR_Cálculos!$B$26*'3.ROIC'!M5,"")</f>
        <v>116.45388620932241</v>
      </c>
      <c r="N13" s="86">
        <f>IFERROR(TIKR_Cálculos!$B$26*'3.ROIC'!N5,"")</f>
        <v>127.93681382102223</v>
      </c>
      <c r="O13" s="86">
        <f>IFERROR(TIKR_Cálculos!$B$26*'3.ROIC'!O5,"")</f>
        <v>140.55201473701118</v>
      </c>
      <c r="P13" s="118">
        <f>IFERROR(TIKR_Cálculos!$B$26*'3.ROIC'!P5,"")</f>
        <v>154.4111366902506</v>
      </c>
      <c r="Q13" s="6"/>
      <c r="R13" s="315" t="s">
        <v>158</v>
      </c>
      <c r="T13" s="27"/>
      <c r="U13" s="27"/>
      <c r="V13" s="27"/>
    </row>
    <row r="14" spans="1:22" ht="25" customHeight="1" x14ac:dyDescent="0.2">
      <c r="A14" s="67" t="s">
        <v>109</v>
      </c>
      <c r="B14" s="110">
        <f>B12+B13</f>
        <v>-92</v>
      </c>
      <c r="C14" s="86">
        <f t="shared" ref="C14:K14" si="19">C12+C13</f>
        <v>-84</v>
      </c>
      <c r="D14" s="86">
        <f t="shared" si="19"/>
        <v>-84</v>
      </c>
      <c r="E14" s="86">
        <f t="shared" si="19"/>
        <v>-24</v>
      </c>
      <c r="F14" s="86">
        <f t="shared" si="19"/>
        <v>-71</v>
      </c>
      <c r="G14" s="86">
        <f t="shared" si="19"/>
        <v>-130</v>
      </c>
      <c r="H14" s="86">
        <f t="shared" si="19"/>
        <v>-97</v>
      </c>
      <c r="I14" s="86">
        <f t="shared" si="19"/>
        <v>310</v>
      </c>
      <c r="J14" s="86">
        <f t="shared" si="19"/>
        <v>364</v>
      </c>
      <c r="K14" s="86">
        <f t="shared" si="19"/>
        <v>315</v>
      </c>
      <c r="L14" s="110">
        <f>IFERROR(SUM(L12:L13),"")</f>
        <v>29.268861074064759</v>
      </c>
      <c r="M14" s="86">
        <f t="shared" ref="M14:P14" si="20">IFERROR(SUM(M12:M13),"")</f>
        <v>32.154915150321756</v>
      </c>
      <c r="N14" s="86">
        <f t="shared" si="20"/>
        <v>35.325548394521192</v>
      </c>
      <c r="O14" s="86">
        <f t="shared" si="20"/>
        <v>38.808821716364321</v>
      </c>
      <c r="P14" s="118">
        <f t="shared" si="20"/>
        <v>42.63556296966479</v>
      </c>
      <c r="Q14" s="6"/>
      <c r="R14" s="315"/>
      <c r="T14" s="27"/>
      <c r="U14" s="27"/>
      <c r="V14" s="27"/>
    </row>
    <row r="15" spans="1:22" ht="25" customHeight="1" collapsed="1" x14ac:dyDescent="0.2">
      <c r="A15" s="67" t="s">
        <v>16</v>
      </c>
      <c r="B15" s="110">
        <f t="shared" ref="B15:P15" si="21">IFERROR(B9+B14,"")</f>
        <v>3580</v>
      </c>
      <c r="C15" s="86">
        <f t="shared" ref="C15:K15" si="22">IFERROR(C9+C14,"")</f>
        <v>4027</v>
      </c>
      <c r="D15" s="86">
        <f t="shared" si="22"/>
        <v>4396</v>
      </c>
      <c r="E15" s="86">
        <f t="shared" si="22"/>
        <v>4713</v>
      </c>
      <c r="F15" s="86">
        <f t="shared" si="22"/>
        <v>5364</v>
      </c>
      <c r="G15" s="86">
        <f t="shared" si="22"/>
        <v>6662</v>
      </c>
      <c r="H15" s="86">
        <f t="shared" si="22"/>
        <v>7814</v>
      </c>
      <c r="I15" s="86">
        <f t="shared" si="22"/>
        <v>8815</v>
      </c>
      <c r="J15" s="86">
        <f t="shared" si="22"/>
        <v>9649</v>
      </c>
      <c r="K15" s="86">
        <f t="shared" si="22"/>
        <v>10698</v>
      </c>
      <c r="L15" s="110">
        <f t="shared" si="21"/>
        <v>10215.909618305794</v>
      </c>
      <c r="M15" s="86">
        <f t="shared" si="21"/>
        <v>11223.248698633392</v>
      </c>
      <c r="N15" s="86">
        <f t="shared" si="21"/>
        <v>12329.916381177374</v>
      </c>
      <c r="O15" s="86">
        <f t="shared" si="21"/>
        <v>13545.706956073942</v>
      </c>
      <c r="P15" s="118">
        <f t="shared" si="21"/>
        <v>14881.380478778969</v>
      </c>
      <c r="Q15" s="6"/>
      <c r="R15" s="315"/>
      <c r="T15" s="27"/>
      <c r="U15" s="27"/>
      <c r="V15" s="27"/>
    </row>
    <row r="16" spans="1:22" ht="25" customHeight="1" thickBot="1" x14ac:dyDescent="0.25">
      <c r="A16" s="117" t="s">
        <v>133</v>
      </c>
      <c r="B16" s="108">
        <v>-1243</v>
      </c>
      <c r="C16" s="85">
        <v>-1325</v>
      </c>
      <c r="D16" s="85">
        <v>-1263</v>
      </c>
      <c r="E16" s="85">
        <v>-1061</v>
      </c>
      <c r="F16" s="85">
        <v>-1308</v>
      </c>
      <c r="G16" s="85">
        <v>-1601</v>
      </c>
      <c r="H16" s="85">
        <v>-1925</v>
      </c>
      <c r="I16" s="85">
        <v>-2195</v>
      </c>
      <c r="J16" s="85">
        <v>-2373</v>
      </c>
      <c r="K16" s="85">
        <v>-2719</v>
      </c>
      <c r="L16" s="110">
        <f>IFERROR(-L15*L17,"")</f>
        <v>-2725.8932362556848</v>
      </c>
      <c r="M16" s="86">
        <f>IFERROR(-M15*M17,"")</f>
        <v>-2994.6797553494589</v>
      </c>
      <c r="N16" s="86">
        <f>IFERROR(-N15*N17,"")</f>
        <v>-3289.9699510677015</v>
      </c>
      <c r="O16" s="86">
        <f>IFERROR(-O15*O17,"")</f>
        <v>-3614.3772166601293</v>
      </c>
      <c r="P16" s="118">
        <f>IFERROR(-P15*P17,"")</f>
        <v>-3970.7726388419519</v>
      </c>
      <c r="Q16" s="6"/>
      <c r="T16" s="27"/>
      <c r="U16" s="27"/>
      <c r="V16" s="27"/>
    </row>
    <row r="17" spans="1:22" ht="25" customHeight="1" thickTop="1" thickBot="1" x14ac:dyDescent="0.25">
      <c r="A17" s="67" t="s">
        <v>17</v>
      </c>
      <c r="B17" s="106">
        <f t="shared" ref="B17" si="23">IFERROR((ABS(B16)/B15),"")</f>
        <v>0.34720670391061453</v>
      </c>
      <c r="C17" s="10">
        <f t="shared" ref="C17:K17" si="24">IFERROR((ABS(C16)/C15),"")</f>
        <v>0.32902905388626769</v>
      </c>
      <c r="D17" s="10">
        <f t="shared" si="24"/>
        <v>0.28730664240218379</v>
      </c>
      <c r="E17" s="10">
        <f t="shared" si="24"/>
        <v>0.22512200297050711</v>
      </c>
      <c r="F17" s="10">
        <f t="shared" si="24"/>
        <v>0.24384787472035793</v>
      </c>
      <c r="G17" s="10">
        <f t="shared" si="24"/>
        <v>0.24031822275592915</v>
      </c>
      <c r="H17" s="10">
        <f t="shared" si="24"/>
        <v>0.24635270028154593</v>
      </c>
      <c r="I17" s="10">
        <f t="shared" si="24"/>
        <v>0.24900737379466817</v>
      </c>
      <c r="J17" s="10">
        <f t="shared" si="24"/>
        <v>0.24593222095553943</v>
      </c>
      <c r="K17" s="10">
        <f t="shared" si="24"/>
        <v>0.25415965601046925</v>
      </c>
      <c r="L17" s="256">
        <f>S5</f>
        <v>0.26682824516880826</v>
      </c>
      <c r="M17" s="257">
        <f>L17</f>
        <v>0.26682824516880826</v>
      </c>
      <c r="N17" s="257">
        <f t="shared" ref="N17:P17" si="25">M17</f>
        <v>0.26682824516880826</v>
      </c>
      <c r="O17" s="257">
        <f t="shared" si="25"/>
        <v>0.26682824516880826</v>
      </c>
      <c r="P17" s="258">
        <f t="shared" si="25"/>
        <v>0.26682824516880826</v>
      </c>
      <c r="Q17" s="6"/>
      <c r="R17" s="6"/>
      <c r="S17" s="7"/>
      <c r="T17" s="27"/>
      <c r="U17" s="27"/>
      <c r="V17" s="27"/>
    </row>
    <row r="18" spans="1:22" ht="25" customHeight="1" thickTop="1" x14ac:dyDescent="0.2">
      <c r="A18" s="67" t="s">
        <v>0</v>
      </c>
      <c r="B18" s="110">
        <f t="shared" ref="B18" si="26">B15+B16</f>
        <v>2337</v>
      </c>
      <c r="C18" s="86">
        <f t="shared" ref="C18:K18" si="27">C15+C16</f>
        <v>2702</v>
      </c>
      <c r="D18" s="86">
        <f t="shared" si="27"/>
        <v>3133</v>
      </c>
      <c r="E18" s="86">
        <f t="shared" si="27"/>
        <v>3652</v>
      </c>
      <c r="F18" s="86">
        <f t="shared" si="27"/>
        <v>4056</v>
      </c>
      <c r="G18" s="86">
        <f t="shared" si="27"/>
        <v>5061</v>
      </c>
      <c r="H18" s="86">
        <f t="shared" si="27"/>
        <v>5889</v>
      </c>
      <c r="I18" s="86">
        <f t="shared" si="27"/>
        <v>6620</v>
      </c>
      <c r="J18" s="86">
        <f t="shared" si="27"/>
        <v>7276</v>
      </c>
      <c r="K18" s="86">
        <f t="shared" si="27"/>
        <v>7979</v>
      </c>
      <c r="L18" s="110">
        <f>IFERROR(L15+L16,"")</f>
        <v>7490.0163820501093</v>
      </c>
      <c r="M18" s="86">
        <f>IFERROR(M15+M16,"")</f>
        <v>8228.5689432839317</v>
      </c>
      <c r="N18" s="86">
        <f>IFERROR(N15+N16,"")</f>
        <v>9039.9464301096723</v>
      </c>
      <c r="O18" s="86">
        <f>IFERROR(O15+O16,"")</f>
        <v>9931.3297394138135</v>
      </c>
      <c r="P18" s="118">
        <f>IFERROR(P15+P16,"")</f>
        <v>10910.607839937016</v>
      </c>
      <c r="Q18" s="6"/>
      <c r="R18" s="6"/>
      <c r="S18" s="7"/>
      <c r="T18" s="27"/>
      <c r="U18" s="27"/>
      <c r="V18" s="27"/>
    </row>
    <row r="19" spans="1:22" ht="25" customHeight="1" x14ac:dyDescent="0.2">
      <c r="A19" s="117" t="s">
        <v>201</v>
      </c>
      <c r="B19" s="108">
        <v>-26</v>
      </c>
      <c r="C19" s="85">
        <v>-35</v>
      </c>
      <c r="D19" s="85">
        <v>-45</v>
      </c>
      <c r="E19" s="85">
        <v>-45</v>
      </c>
      <c r="F19" s="85">
        <v>-57</v>
      </c>
      <c r="G19" s="85">
        <v>-72</v>
      </c>
      <c r="H19" s="85">
        <v>-71</v>
      </c>
      <c r="I19" s="85">
        <v>0</v>
      </c>
      <c r="J19" s="85">
        <v>0</v>
      </c>
      <c r="K19" s="85">
        <v>0</v>
      </c>
      <c r="L19" s="110">
        <f>IFERROR(K19/K18*L18,"")</f>
        <v>0</v>
      </c>
      <c r="M19" s="86">
        <f>IFERROR(L19/L18*M18,"")</f>
        <v>0</v>
      </c>
      <c r="N19" s="86">
        <f>IFERROR(M19/M18*N18,"")</f>
        <v>0</v>
      </c>
      <c r="O19" s="86">
        <f>IFERROR(N19/N18*O18,"")</f>
        <v>0</v>
      </c>
      <c r="P19" s="118">
        <f>IFERROR(O19/O18*P18,"")</f>
        <v>0</v>
      </c>
      <c r="Q19" s="6"/>
      <c r="R19" s="6"/>
      <c r="S19" s="7"/>
      <c r="T19" s="27"/>
      <c r="U19" s="27"/>
      <c r="V19" s="27"/>
    </row>
    <row r="20" spans="1:22" ht="25" customHeight="1" x14ac:dyDescent="0.2">
      <c r="A20" s="67" t="s">
        <v>1</v>
      </c>
      <c r="B20" s="110">
        <f t="shared" ref="B20" si="28">B18+B19</f>
        <v>2311</v>
      </c>
      <c r="C20" s="86">
        <f t="shared" ref="C20:K20" si="29">C18+C19</f>
        <v>2667</v>
      </c>
      <c r="D20" s="86">
        <f t="shared" si="29"/>
        <v>3088</v>
      </c>
      <c r="E20" s="86">
        <f t="shared" si="29"/>
        <v>3607</v>
      </c>
      <c r="F20" s="86">
        <f t="shared" si="29"/>
        <v>3999</v>
      </c>
      <c r="G20" s="86">
        <f t="shared" si="29"/>
        <v>4989</v>
      </c>
      <c r="H20" s="86">
        <f t="shared" si="29"/>
        <v>5818</v>
      </c>
      <c r="I20" s="86">
        <f t="shared" si="29"/>
        <v>6620</v>
      </c>
      <c r="J20" s="86">
        <f t="shared" si="29"/>
        <v>7276</v>
      </c>
      <c r="K20" s="86">
        <f t="shared" si="29"/>
        <v>7979</v>
      </c>
      <c r="L20" s="110">
        <f>IFERROR(L18+L19,"")</f>
        <v>7490.0163820501093</v>
      </c>
      <c r="M20" s="86">
        <f>IFERROR(M18+M19,"")</f>
        <v>8228.5689432839317</v>
      </c>
      <c r="N20" s="86">
        <f>IFERROR(N18+N19,"")</f>
        <v>9039.9464301096723</v>
      </c>
      <c r="O20" s="86">
        <f>IFERROR(O18+O19,"")</f>
        <v>9931.3297394138135</v>
      </c>
      <c r="P20" s="118">
        <f>IFERROR(P18+P19,"")</f>
        <v>10910.607839937016</v>
      </c>
      <c r="Q20" s="6"/>
      <c r="R20" s="6"/>
      <c r="S20" s="7"/>
      <c r="T20" s="27"/>
      <c r="U20" s="27"/>
      <c r="V20" s="27"/>
    </row>
    <row r="21" spans="1:22" ht="25" customHeight="1" x14ac:dyDescent="0.2">
      <c r="A21" s="67" t="s">
        <v>202</v>
      </c>
      <c r="B21" s="106">
        <f t="shared" ref="B21:P21" si="30">IFERROR(B20/B3,"")</f>
        <v>1.9466134317169113E-2</v>
      </c>
      <c r="C21" s="10">
        <f t="shared" ref="C21:K21" si="31">IFERROR(C20/C3,"")</f>
        <v>2.0670412710714979E-2</v>
      </c>
      <c r="D21" s="10">
        <f t="shared" si="31"/>
        <v>2.1811606486975194E-2</v>
      </c>
      <c r="E21" s="10">
        <f t="shared" si="31"/>
        <v>2.3621015959083974E-2</v>
      </c>
      <c r="F21" s="10">
        <f t="shared" si="31"/>
        <v>2.3980427078273699E-2</v>
      </c>
      <c r="G21" s="10">
        <f t="shared" si="31"/>
        <v>2.5463305585186471E-2</v>
      </c>
      <c r="H21" s="10">
        <f t="shared" si="31"/>
        <v>2.5635150735391313E-2</v>
      </c>
      <c r="I21" s="10">
        <f t="shared" si="31"/>
        <v>2.7322629906310618E-2</v>
      </c>
      <c r="J21" s="10">
        <f t="shared" si="31"/>
        <v>2.8594671707545205E-2</v>
      </c>
      <c r="K21" s="10">
        <f t="shared" si="31"/>
        <v>2.8989772376332951E-2</v>
      </c>
      <c r="L21" s="106">
        <f t="shared" si="30"/>
        <v>2.4770659140785758E-2</v>
      </c>
      <c r="M21" s="10">
        <f t="shared" si="30"/>
        <v>2.4770659140785755E-2</v>
      </c>
      <c r="N21" s="10">
        <f t="shared" si="30"/>
        <v>2.4770659140785758E-2</v>
      </c>
      <c r="O21" s="10">
        <f t="shared" si="30"/>
        <v>2.4770659140785762E-2</v>
      </c>
      <c r="P21" s="114">
        <f t="shared" si="30"/>
        <v>2.4770659140785758E-2</v>
      </c>
      <c r="Q21" s="6"/>
      <c r="R21" s="6"/>
      <c r="S21" s="7"/>
      <c r="T21" s="27"/>
      <c r="U21" s="27"/>
      <c r="V21" s="27"/>
    </row>
    <row r="22" spans="1:22" ht="25" customHeight="1" x14ac:dyDescent="0.2">
      <c r="A22" s="67" t="s">
        <v>11</v>
      </c>
      <c r="B22" s="106"/>
      <c r="C22" s="10">
        <f>IFERROR((C20-B20)/B20,"")</f>
        <v>0.15404586758978797</v>
      </c>
      <c r="D22" s="10">
        <f t="shared" ref="D22" si="32">IFERROR((D20-C20)/C20,"")</f>
        <v>0.15785526809148856</v>
      </c>
      <c r="E22" s="10">
        <f t="shared" ref="E22" si="33">IFERROR((E20-D20)/D20,"")</f>
        <v>0.16806994818652848</v>
      </c>
      <c r="F22" s="10">
        <f t="shared" ref="F22" si="34">IFERROR((F20-E20)/E20,"")</f>
        <v>0.1086775713889659</v>
      </c>
      <c r="G22" s="10">
        <f t="shared" ref="G22" si="35">IFERROR((G20-F20)/F20,"")</f>
        <v>0.24756189047261815</v>
      </c>
      <c r="H22" s="10">
        <f t="shared" ref="H22" si="36">IFERROR((H20-G20)/G20,"")</f>
        <v>0.16616556424133092</v>
      </c>
      <c r="I22" s="10">
        <f t="shared" ref="I22" si="37">IFERROR((I20-H20)/H20,"")</f>
        <v>0.13784805775180475</v>
      </c>
      <c r="J22" s="10">
        <f t="shared" ref="J22" si="38">IFERROR((J20-I20)/I20,"")</f>
        <v>9.9093655589123864E-2</v>
      </c>
      <c r="K22" s="10">
        <f t="shared" ref="K22" si="39">IFERROR((K20-J20)/J20,"")</f>
        <v>9.6619021440351838E-2</v>
      </c>
      <c r="L22" s="106">
        <f t="shared" ref="L22" si="40">IFERROR((L20-K20)/K20,"")</f>
        <v>-6.1283822277214024E-2</v>
      </c>
      <c r="M22" s="10">
        <f t="shared" ref="M22" si="41">IFERROR((M20-L20)/L20,"")</f>
        <v>9.8604932694642725E-2</v>
      </c>
      <c r="N22" s="10">
        <f t="shared" ref="N22" si="42">IFERROR((N20-M20)/M20,"")</f>
        <v>9.8604932694642849E-2</v>
      </c>
      <c r="O22" s="10">
        <f t="shared" ref="O22" si="43">IFERROR((O20-N20)/N20,"")</f>
        <v>9.8604932694642863E-2</v>
      </c>
      <c r="P22" s="114">
        <f t="shared" ref="P22" si="44">IFERROR((P20-O20)/O20,"")</f>
        <v>9.8604932694642725E-2</v>
      </c>
      <c r="Q22" s="6"/>
      <c r="R22" s="6"/>
      <c r="S22" s="7"/>
      <c r="T22" s="27"/>
      <c r="U22" s="27"/>
      <c r="V22" s="27"/>
    </row>
    <row r="23" spans="1:22" ht="25" customHeight="1" x14ac:dyDescent="0.2">
      <c r="A23" s="115" t="s">
        <v>18</v>
      </c>
      <c r="B23" s="265">
        <f t="shared" ref="B23:P23" si="45">IFERROR(B20/B25,"")</f>
        <v>5.2372750759189595</v>
      </c>
      <c r="C23" s="266">
        <f t="shared" ref="C23:K23" si="46">IFERROR(C20/C25,"")</f>
        <v>6.0484419648931826</v>
      </c>
      <c r="D23" s="266">
        <f t="shared" si="46"/>
        <v>6.9891134599280269</v>
      </c>
      <c r="E23" s="266">
        <f t="shared" si="46"/>
        <v>8.1436828321141519</v>
      </c>
      <c r="F23" s="266">
        <f t="shared" si="46"/>
        <v>9.0087857625591354</v>
      </c>
      <c r="G23" s="266">
        <f t="shared" si="46"/>
        <v>11.227635872622932</v>
      </c>
      <c r="H23" s="266">
        <f t="shared" si="46"/>
        <v>13.081212339239141</v>
      </c>
      <c r="I23" s="266">
        <f t="shared" si="46"/>
        <v>14.894813814827316</v>
      </c>
      <c r="J23" s="266">
        <f t="shared" si="46"/>
        <v>16.359384836765898</v>
      </c>
      <c r="K23" s="266">
        <f t="shared" si="46"/>
        <v>17.938399280575538</v>
      </c>
      <c r="L23" s="265">
        <f t="shared" si="45"/>
        <v>16.824111438171382</v>
      </c>
      <c r="M23" s="266">
        <f t="shared" si="45"/>
        <v>18.466637680159529</v>
      </c>
      <c r="N23" s="266">
        <f t="shared" si="45"/>
        <v>20.269522611254942</v>
      </c>
      <c r="O23" s="266">
        <f t="shared" si="45"/>
        <v>22.248421938206679</v>
      </c>
      <c r="P23" s="267">
        <f t="shared" si="45"/>
        <v>24.420519823472542</v>
      </c>
      <c r="Q23" s="6"/>
      <c r="R23" s="6"/>
      <c r="S23" s="6"/>
      <c r="T23" s="27"/>
      <c r="U23" s="27"/>
      <c r="V23" s="27"/>
    </row>
    <row r="24" spans="1:22" ht="25" customHeight="1" x14ac:dyDescent="0.2">
      <c r="A24" s="67" t="s">
        <v>11</v>
      </c>
      <c r="B24" s="106"/>
      <c r="C24" s="10">
        <f t="shared" ref="C24:H26" si="47">IFERROR((C23-B23)/B23,"")</f>
        <v>0.15488338443477528</v>
      </c>
      <c r="D24" s="10">
        <f t="shared" ref="D24" si="48">IFERROR((D23-C23)/C23,"")</f>
        <v>0.15552294301487224</v>
      </c>
      <c r="E24" s="10">
        <f t="shared" ref="E24" si="49">IFERROR((E23-D23)/D23,"")</f>
        <v>0.16519539692778354</v>
      </c>
      <c r="F24" s="10">
        <f t="shared" ref="F24" si="50">IFERROR((F23-E23)/E23,"")</f>
        <v>0.10622993899436986</v>
      </c>
      <c r="G24" s="10">
        <f t="shared" ref="G24" si="51">IFERROR((G23-F23)/F23,"")</f>
        <v>0.24629846558072493</v>
      </c>
      <c r="H24" s="10">
        <f t="shared" ref="H24" si="52">IFERROR((H23-G23)/G23,"")</f>
        <v>0.16509053977568902</v>
      </c>
      <c r="I24" s="10">
        <f t="shared" ref="I24" si="53">IFERROR((I23-H23)/H23,"")</f>
        <v>0.13864169685159794</v>
      </c>
      <c r="J24" s="10">
        <f t="shared" ref="J24" si="54">IFERROR((J23-I23)/I23,"")</f>
        <v>9.8327581676828202E-2</v>
      </c>
      <c r="K24" s="10">
        <f t="shared" ref="K24" si="55">IFERROR((K23-J23)/J23,"")</f>
        <v>9.6520404621876804E-2</v>
      </c>
      <c r="L24" s="106">
        <f>IFERROR((L23-K23)/K23,"")</f>
        <v>-6.2117462376409166E-2</v>
      </c>
      <c r="M24" s="10">
        <f t="shared" ref="M24:P24" si="56">IFERROR((M23-L23)/L23,"")</f>
        <v>9.7629301138692032E-2</v>
      </c>
      <c r="N24" s="10">
        <f t="shared" si="56"/>
        <v>9.7629301138692087E-2</v>
      </c>
      <c r="O24" s="10">
        <f t="shared" si="56"/>
        <v>9.7629301138692073E-2</v>
      </c>
      <c r="P24" s="114">
        <f t="shared" si="56"/>
        <v>9.7629301138692087E-2</v>
      </c>
      <c r="Q24" s="6"/>
      <c r="R24" s="6"/>
      <c r="S24" s="6"/>
      <c r="T24" s="27"/>
      <c r="U24" s="27"/>
      <c r="V24" s="27"/>
    </row>
    <row r="25" spans="1:22" ht="25" customHeight="1" thickBot="1" x14ac:dyDescent="0.25">
      <c r="A25" s="117" t="s">
        <v>107</v>
      </c>
      <c r="B25" s="111">
        <v>441.26</v>
      </c>
      <c r="C25" s="15">
        <v>440.94</v>
      </c>
      <c r="D25" s="15">
        <v>441.83</v>
      </c>
      <c r="E25" s="15">
        <v>442.92</v>
      </c>
      <c r="F25" s="15">
        <v>443.9</v>
      </c>
      <c r="G25" s="15">
        <v>444.35</v>
      </c>
      <c r="H25" s="15">
        <v>444.76</v>
      </c>
      <c r="I25" s="15">
        <v>444.45</v>
      </c>
      <c r="J25" s="15">
        <v>444.76</v>
      </c>
      <c r="K25" s="15">
        <v>444.8</v>
      </c>
      <c r="L25" s="193">
        <f>IFERROR(K25*(1+L26),"")</f>
        <v>445.19536200030075</v>
      </c>
      <c r="M25" s="11">
        <f t="shared" ref="M25" si="57">IFERROR(L25*(1+M26),"")</f>
        <v>445.59107541946679</v>
      </c>
      <c r="N25" s="11">
        <f t="shared" ref="N25" si="58">IFERROR(M25*(1+N26),"")</f>
        <v>445.98714056985796</v>
      </c>
      <c r="O25" s="11">
        <f t="shared" ref="O25" si="59">IFERROR(N25*(1+O26),"")</f>
        <v>446.3835577641118</v>
      </c>
      <c r="P25" s="119">
        <f t="shared" ref="P25" si="60">IFERROR(O25*(1+P26),"")</f>
        <v>446.78032731514367</v>
      </c>
      <c r="Q25" s="6"/>
      <c r="R25" s="6"/>
      <c r="S25" s="7"/>
      <c r="T25" s="27"/>
      <c r="U25" s="27"/>
      <c r="V25" s="27"/>
    </row>
    <row r="26" spans="1:22" ht="25" customHeight="1" thickTop="1" thickBot="1" x14ac:dyDescent="0.25">
      <c r="A26" s="67" t="s">
        <v>11</v>
      </c>
      <c r="B26" s="106"/>
      <c r="C26" s="10">
        <f t="shared" si="47"/>
        <v>-7.2519602955172272E-4</v>
      </c>
      <c r="D26" s="10">
        <f t="shared" si="47"/>
        <v>2.0184152038825835E-3</v>
      </c>
      <c r="E26" s="10">
        <f t="shared" si="47"/>
        <v>2.4670121992622319E-3</v>
      </c>
      <c r="F26" s="10">
        <f>IFERROR((F25-E25)/E25,"")</f>
        <v>2.212589180890367E-3</v>
      </c>
      <c r="G26" s="10">
        <f t="shared" si="47"/>
        <v>1.0137418337464418E-3</v>
      </c>
      <c r="H26" s="10">
        <f t="shared" si="47"/>
        <v>9.2269607291542281E-4</v>
      </c>
      <c r="I26" s="10">
        <f t="shared" ref="I26" si="61">IFERROR((I25-H25)/H25,"")</f>
        <v>-6.9700512636028931E-4</v>
      </c>
      <c r="J26" s="10">
        <f t="shared" ref="J26" si="62">IFERROR((J25-I25)/I25,"")</f>
        <v>6.9749128135898814E-4</v>
      </c>
      <c r="K26" s="10">
        <f t="shared" ref="K26" si="63">IFERROR((K25-J25)/J25,"")</f>
        <v>8.9936145336856876E-5</v>
      </c>
      <c r="L26" s="256">
        <f>S6</f>
        <v>8.8885341794232007E-4</v>
      </c>
      <c r="M26" s="257">
        <f>L26</f>
        <v>8.8885341794232007E-4</v>
      </c>
      <c r="N26" s="257">
        <f t="shared" ref="N26:P26" si="64">M26</f>
        <v>8.8885341794232007E-4</v>
      </c>
      <c r="O26" s="257">
        <f t="shared" si="64"/>
        <v>8.8885341794232007E-4</v>
      </c>
      <c r="P26" s="258">
        <f t="shared" si="64"/>
        <v>8.8885341794232007E-4</v>
      </c>
      <c r="Q26" s="6"/>
      <c r="R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2">
    <mergeCell ref="R13:R15"/>
    <mergeCell ref="O1:P1"/>
  </mergeCells>
  <conditionalFormatting sqref="B4:K4 B11:K11 B24:K24">
    <cfRule type="cellIs" dxfId="14" priority="6" operator="lessThan">
      <formula>0</formula>
    </cfRule>
  </conditionalFormatting>
  <conditionalFormatting sqref="B7:K7">
    <cfRule type="cellIs" dxfId="13" priority="4" operator="lessThan">
      <formula>0</formula>
    </cfRule>
  </conditionalFormatting>
  <conditionalFormatting sqref="B22:K22">
    <cfRule type="cellIs" dxfId="12" priority="1" operator="lessThan">
      <formula>0</formula>
    </cfRule>
  </conditionalFormatting>
  <conditionalFormatting sqref="B26:K26">
    <cfRule type="cellIs" dxfId="11" priority="2" operator="lessThan">
      <formula>0</formula>
    </cfRule>
    <cfRule type="cellIs" dxfId="10" priority="3" operator="lessThan">
      <formula>0</formula>
    </cfRule>
  </conditionalFormatting>
  <pageMargins left="0.7" right="0.7" top="0.75" bottom="0.75" header="0.3" footer="0.3"/>
  <pageSetup paperSize="9" orientation="portrait" r:id="rId1"/>
  <ignoredErrors>
    <ignoredError sqref="I23:K24 I2:K2 I22:K22 I4:K7 I10:K11 I14:K15 I17:K18 I20:K21 I26:K26"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activeCell="I4" sqref="I4"/>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9" style="4" customWidth="1"/>
    <col min="19" max="20" width="15.5" style="4" hidden="1" customWidth="1"/>
    <col min="21" max="16384" width="9.1640625" style="4" hidden="1"/>
  </cols>
  <sheetData>
    <row r="1" spans="1:18" ht="50" customHeight="1" x14ac:dyDescent="0.2">
      <c r="A1" s="248" t="str">
        <f>IF('1.IS'!A1&lt;&gt;"",'1.IS'!A1,"")</f>
        <v/>
      </c>
      <c r="B1" s="17" t="s">
        <v>69</v>
      </c>
      <c r="O1" s="313" t="e" vm="1">
        <v>#VALUE!</v>
      </c>
      <c r="P1" s="313"/>
    </row>
    <row r="2" spans="1:18" s="6" customFormat="1" ht="35" customHeight="1" x14ac:dyDescent="0.2">
      <c r="A2" s="103" t="s">
        <v>67</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row>
    <row r="3" spans="1:18" s="6" customFormat="1" ht="28" customHeight="1" x14ac:dyDescent="0.2">
      <c r="A3" s="115" t="s">
        <v>2</v>
      </c>
      <c r="B3" s="107">
        <f>'1.IS'!B5</f>
        <v>3672</v>
      </c>
      <c r="C3" s="84">
        <f>'1.IS'!C5</f>
        <v>4111</v>
      </c>
      <c r="D3" s="84">
        <f>'1.IS'!D5</f>
        <v>4480</v>
      </c>
      <c r="E3" s="84">
        <f>'1.IS'!E5</f>
        <v>4737</v>
      </c>
      <c r="F3" s="84">
        <f>'1.IS'!F5</f>
        <v>5435</v>
      </c>
      <c r="G3" s="84">
        <f>'1.IS'!G5</f>
        <v>6792</v>
      </c>
      <c r="H3" s="84">
        <f>'1.IS'!H5</f>
        <v>7911</v>
      </c>
      <c r="I3" s="84">
        <f>'1.IS'!I5</f>
        <v>8505</v>
      </c>
      <c r="J3" s="84">
        <f>'1.IS'!J5</f>
        <v>9285</v>
      </c>
      <c r="K3" s="84">
        <f>'1.IS'!K5</f>
        <v>10383</v>
      </c>
      <c r="L3" s="107">
        <f>'1.IS'!L5</f>
        <v>10186.640757231729</v>
      </c>
      <c r="M3" s="84">
        <f>'1.IS'!M5</f>
        <v>11191.093783483069</v>
      </c>
      <c r="N3" s="84">
        <f>'1.IS'!N5</f>
        <v>12294.590832782853</v>
      </c>
      <c r="O3" s="84">
        <f>'1.IS'!O5</f>
        <v>13506.898134357578</v>
      </c>
      <c r="P3" s="116">
        <f>'1.IS'!P5</f>
        <v>14838.744915809304</v>
      </c>
      <c r="Q3" s="9"/>
    </row>
    <row r="4" spans="1:18" s="6" customFormat="1" ht="25" customHeight="1" x14ac:dyDescent="0.2">
      <c r="A4" s="117" t="s">
        <v>153</v>
      </c>
      <c r="B4" s="108">
        <v>-2649</v>
      </c>
      <c r="C4" s="85">
        <v>-2502</v>
      </c>
      <c r="D4" s="85">
        <v>-2969</v>
      </c>
      <c r="E4" s="85">
        <v>-2998</v>
      </c>
      <c r="F4" s="85">
        <v>-2810</v>
      </c>
      <c r="G4" s="85">
        <v>-3588</v>
      </c>
      <c r="H4" s="85">
        <v>-3891</v>
      </c>
      <c r="I4" s="85">
        <v>-4323</v>
      </c>
      <c r="J4" s="85">
        <v>-4710</v>
      </c>
      <c r="K4" s="85">
        <v>-5498</v>
      </c>
      <c r="L4" s="122">
        <f>IFERROR(-L22*'1.IS'!L3,"")</f>
        <v>-6040.1299199551468</v>
      </c>
      <c r="M4" s="88">
        <f>IFERROR(-M22*'1.IS'!M3,"")</f>
        <v>-6635.7165241792218</v>
      </c>
      <c r="N4" s="88">
        <f>IFERROR(-N22*'1.IS'!N3,"")</f>
        <v>-7290.0309054266427</v>
      </c>
      <c r="O4" s="88">
        <f>IFERROR(-O22*'1.IS'!O3,"")</f>
        <v>-8008.8639121981023</v>
      </c>
      <c r="P4" s="126">
        <f>IFERROR(-P22*'1.IS'!P3,"")</f>
        <v>-8798.5773992209506</v>
      </c>
      <c r="Q4" s="13"/>
    </row>
    <row r="5" spans="1:18" s="6" customFormat="1" ht="25" customHeight="1" x14ac:dyDescent="0.2">
      <c r="A5" s="18" t="s">
        <v>121</v>
      </c>
      <c r="B5" s="122">
        <f>'1.IS'!B14</f>
        <v>-92</v>
      </c>
      <c r="C5" s="88">
        <f>'1.IS'!C14</f>
        <v>-84</v>
      </c>
      <c r="D5" s="88">
        <f>'1.IS'!D14</f>
        <v>-84</v>
      </c>
      <c r="E5" s="88">
        <f>'1.IS'!E14</f>
        <v>-24</v>
      </c>
      <c r="F5" s="88">
        <f>'1.IS'!F14</f>
        <v>-71</v>
      </c>
      <c r="G5" s="88">
        <f>'1.IS'!G14</f>
        <v>-130</v>
      </c>
      <c r="H5" s="88">
        <f>'1.IS'!H14</f>
        <v>-97</v>
      </c>
      <c r="I5" s="88">
        <f>'1.IS'!I14</f>
        <v>310</v>
      </c>
      <c r="J5" s="88">
        <f>'1.IS'!J14</f>
        <v>364</v>
      </c>
      <c r="K5" s="88">
        <f>'1.IS'!K14</f>
        <v>315</v>
      </c>
      <c r="L5" s="122">
        <f>'1.IS'!L14</f>
        <v>29.268861074064759</v>
      </c>
      <c r="M5" s="88">
        <f>'1.IS'!M14</f>
        <v>32.154915150321756</v>
      </c>
      <c r="N5" s="88">
        <f>'1.IS'!N14</f>
        <v>35.325548394521192</v>
      </c>
      <c r="O5" s="88">
        <f>'1.IS'!O14</f>
        <v>38.808821716364321</v>
      </c>
      <c r="P5" s="126">
        <f>'1.IS'!P14</f>
        <v>42.63556296966479</v>
      </c>
      <c r="Q5" s="13"/>
    </row>
    <row r="6" spans="1:18" s="6" customFormat="1" ht="25" customHeight="1" x14ac:dyDescent="0.2">
      <c r="A6" s="18" t="s">
        <v>77</v>
      </c>
      <c r="B6" s="122">
        <f>'1.IS'!B16</f>
        <v>-1243</v>
      </c>
      <c r="C6" s="88">
        <f>'1.IS'!C16</f>
        <v>-1325</v>
      </c>
      <c r="D6" s="88">
        <f>'1.IS'!D16</f>
        <v>-1263</v>
      </c>
      <c r="E6" s="88">
        <f>'1.IS'!E16</f>
        <v>-1061</v>
      </c>
      <c r="F6" s="88">
        <f>'1.IS'!F16</f>
        <v>-1308</v>
      </c>
      <c r="G6" s="88">
        <f>'1.IS'!G16</f>
        <v>-1601</v>
      </c>
      <c r="H6" s="88">
        <f>'1.IS'!H16</f>
        <v>-1925</v>
      </c>
      <c r="I6" s="88">
        <f>'1.IS'!I16</f>
        <v>-2195</v>
      </c>
      <c r="J6" s="88">
        <f>'1.IS'!J16</f>
        <v>-2373</v>
      </c>
      <c r="K6" s="88">
        <f>'1.IS'!K16</f>
        <v>-2719</v>
      </c>
      <c r="L6" s="122">
        <f>'1.IS'!L16</f>
        <v>-2725.8932362556848</v>
      </c>
      <c r="M6" s="88">
        <f>'1.IS'!M16</f>
        <v>-2994.6797553494589</v>
      </c>
      <c r="N6" s="88">
        <f>'1.IS'!N16</f>
        <v>-3289.9699510677015</v>
      </c>
      <c r="O6" s="88">
        <f>'1.IS'!O16</f>
        <v>-3614.3772166601293</v>
      </c>
      <c r="P6" s="126">
        <f>'1.IS'!P16</f>
        <v>-3970.7726388419519</v>
      </c>
      <c r="Q6" s="13"/>
    </row>
    <row r="7" spans="1:18" s="6" customFormat="1" ht="25" customHeight="1" x14ac:dyDescent="0.2">
      <c r="A7" s="127" t="s">
        <v>204</v>
      </c>
      <c r="B7" s="108">
        <v>8969</v>
      </c>
      <c r="C7" s="85">
        <v>9834</v>
      </c>
      <c r="D7" s="85">
        <v>11040</v>
      </c>
      <c r="E7" s="85">
        <v>11395</v>
      </c>
      <c r="F7" s="85">
        <v>12242</v>
      </c>
      <c r="G7" s="85">
        <v>14215</v>
      </c>
      <c r="H7" s="85">
        <v>17907</v>
      </c>
      <c r="I7" s="85">
        <v>16651</v>
      </c>
      <c r="J7" s="85">
        <v>18647</v>
      </c>
      <c r="K7" s="85">
        <v>18116</v>
      </c>
      <c r="L7" s="122"/>
      <c r="M7" s="88"/>
      <c r="N7" s="88"/>
      <c r="O7" s="88"/>
      <c r="P7" s="126"/>
      <c r="Q7" s="13"/>
    </row>
    <row r="8" spans="1:18" s="6" customFormat="1" ht="25" customHeight="1" x14ac:dyDescent="0.2">
      <c r="A8" s="127" t="s">
        <v>205</v>
      </c>
      <c r="B8" s="108">
        <v>1252</v>
      </c>
      <c r="C8" s="85">
        <v>1432</v>
      </c>
      <c r="D8" s="85">
        <v>1669</v>
      </c>
      <c r="E8" s="85">
        <v>1535</v>
      </c>
      <c r="F8" s="85">
        <v>1550</v>
      </c>
      <c r="G8" s="85">
        <v>1803</v>
      </c>
      <c r="H8" s="85">
        <v>2241</v>
      </c>
      <c r="I8" s="85">
        <v>2285</v>
      </c>
      <c r="J8" s="85">
        <v>2721</v>
      </c>
      <c r="K8" s="85">
        <v>3203</v>
      </c>
      <c r="L8" s="122"/>
      <c r="M8" s="88"/>
      <c r="N8" s="88"/>
      <c r="O8" s="88"/>
      <c r="P8" s="126"/>
      <c r="Q8" s="13"/>
    </row>
    <row r="9" spans="1:18" s="6" customFormat="1" ht="25" customHeight="1" x14ac:dyDescent="0.2">
      <c r="A9" s="127" t="s">
        <v>203</v>
      </c>
      <c r="B9" s="108">
        <v>7612</v>
      </c>
      <c r="C9" s="85">
        <v>9608</v>
      </c>
      <c r="D9" s="85">
        <v>11237</v>
      </c>
      <c r="E9" s="85">
        <v>11679</v>
      </c>
      <c r="F9" s="85">
        <v>14172</v>
      </c>
      <c r="G9" s="85">
        <v>16278</v>
      </c>
      <c r="H9" s="85">
        <v>17848</v>
      </c>
      <c r="I9" s="85">
        <v>17483</v>
      </c>
      <c r="J9" s="85">
        <v>19421</v>
      </c>
      <c r="K9" s="85">
        <v>19783</v>
      </c>
      <c r="L9" s="122"/>
      <c r="M9" s="88"/>
      <c r="N9" s="88"/>
      <c r="O9" s="88"/>
      <c r="P9" s="126"/>
      <c r="Q9" s="13"/>
    </row>
    <row r="10" spans="1:18" s="6" customFormat="1" ht="25" customHeight="1" x14ac:dyDescent="0.2">
      <c r="A10" s="127" t="s">
        <v>211</v>
      </c>
      <c r="B10" s="108">
        <v>1362</v>
      </c>
      <c r="C10" s="85">
        <v>1498</v>
      </c>
      <c r="D10" s="85">
        <v>1624</v>
      </c>
      <c r="E10" s="85">
        <v>1711</v>
      </c>
      <c r="F10" s="85">
        <v>1851</v>
      </c>
      <c r="G10" s="85">
        <v>2042</v>
      </c>
      <c r="H10" s="85">
        <v>2174</v>
      </c>
      <c r="I10" s="85">
        <v>2337</v>
      </c>
      <c r="J10" s="85">
        <v>2501</v>
      </c>
      <c r="K10" s="85">
        <v>2854</v>
      </c>
      <c r="L10" s="122"/>
      <c r="M10" s="88"/>
      <c r="N10" s="88"/>
      <c r="O10" s="88"/>
      <c r="P10" s="126"/>
      <c r="Q10" s="13"/>
    </row>
    <row r="11" spans="1:18" s="6" customFormat="1" ht="25" customHeight="1" thickBot="1" x14ac:dyDescent="0.25">
      <c r="A11" s="18" t="s">
        <v>125</v>
      </c>
      <c r="B11" s="122">
        <f>B7+B8-B9-B10</f>
        <v>1247</v>
      </c>
      <c r="C11" s="88">
        <f t="shared" ref="C11:K11" si="0">C7+C8-C9-C10</f>
        <v>160</v>
      </c>
      <c r="D11" s="88">
        <f t="shared" si="0"/>
        <v>-152</v>
      </c>
      <c r="E11" s="88">
        <f t="shared" si="0"/>
        <v>-460</v>
      </c>
      <c r="F11" s="88">
        <f t="shared" si="0"/>
        <v>-2231</v>
      </c>
      <c r="G11" s="88">
        <f t="shared" si="0"/>
        <v>-2302</v>
      </c>
      <c r="H11" s="88">
        <f t="shared" si="0"/>
        <v>126</v>
      </c>
      <c r="I11" s="88">
        <f t="shared" si="0"/>
        <v>-884</v>
      </c>
      <c r="J11" s="88">
        <f t="shared" si="0"/>
        <v>-554</v>
      </c>
      <c r="K11" s="88">
        <f t="shared" si="0"/>
        <v>-1318</v>
      </c>
      <c r="L11" s="122">
        <f>IFERROR(IF(AND(L7&lt;&gt;"",L8&lt;&gt;"",L10&lt;&gt;""),L7+L8-L9-L10,K11+L12),"")</f>
        <v>-1752.5225886046753</v>
      </c>
      <c r="M11" s="88">
        <f t="shared" ref="M11:P11" si="1">IFERROR(IF(AND(M7&lt;&gt;"",M8&lt;&gt;"",M10&lt;&gt;""),M7+M8-M9-M10,L11+M12),"")</f>
        <v>-2229.8912478130164</v>
      </c>
      <c r="N11" s="88">
        <f t="shared" si="1"/>
        <v>-2754.3308115331279</v>
      </c>
      <c r="O11" s="88">
        <f t="shared" si="1"/>
        <v>-3330.4827031362688</v>
      </c>
      <c r="P11" s="126">
        <f t="shared" si="1"/>
        <v>-3963.4460132328286</v>
      </c>
      <c r="Q11" s="13"/>
      <c r="R11" s="316" t="s">
        <v>157</v>
      </c>
    </row>
    <row r="12" spans="1:18" s="6" customFormat="1" ht="25" customHeight="1" thickTop="1" thickBot="1" x14ac:dyDescent="0.25">
      <c r="A12" s="18" t="s">
        <v>124</v>
      </c>
      <c r="B12" s="122"/>
      <c r="C12" s="88">
        <f>IF(B9&gt;0,C11-B11,0)</f>
        <v>-1087</v>
      </c>
      <c r="D12" s="88">
        <f t="shared" ref="D12:K12" si="2">IF(C9&gt;0,D11-C11,0)</f>
        <v>-312</v>
      </c>
      <c r="E12" s="88">
        <f t="shared" si="2"/>
        <v>-308</v>
      </c>
      <c r="F12" s="88">
        <f t="shared" si="2"/>
        <v>-1771</v>
      </c>
      <c r="G12" s="88">
        <f t="shared" si="2"/>
        <v>-71</v>
      </c>
      <c r="H12" s="88">
        <f t="shared" si="2"/>
        <v>2428</v>
      </c>
      <c r="I12" s="88">
        <f t="shared" si="2"/>
        <v>-1010</v>
      </c>
      <c r="J12" s="88">
        <f t="shared" si="2"/>
        <v>330</v>
      </c>
      <c r="K12" s="88">
        <f t="shared" si="2"/>
        <v>-764</v>
      </c>
      <c r="L12" s="186">
        <f>IFERROR((SUM(C12:K12)/SUM('1.IS'!C3:K3))*'1.IS'!L3,"")</f>
        <v>-434.52258860467532</v>
      </c>
      <c r="M12" s="187">
        <f>IFERROR(IF(AND(M7&lt;&gt;"",M8&lt;&gt;"",M10&lt;&gt;""),(M7+M8-M9-M10)-(L7+L8-L9-L10),(L12/'1.IS'!L3)*'1.IS'!M3),"")</f>
        <v>-477.36865920834123</v>
      </c>
      <c r="N12" s="187">
        <f>IFERROR(IF(AND(N7&lt;&gt;"",N8&lt;&gt;"",N10&lt;&gt;""),(N7+N8-N9-N10)-(M7+M8-M9-M10),(M12/'1.IS'!M3)*'1.IS'!N3),"")</f>
        <v>-524.43956372011155</v>
      </c>
      <c r="O12" s="187">
        <f>IFERROR(IF(AND(O7&lt;&gt;"",O8&lt;&gt;"",O10&lt;&gt;""),(O7+O8-O9-O10)-(N7+N8-N9-N10),(N12/'1.IS'!N3)*'1.IS'!O3),"")</f>
        <v>-576.15189160314105</v>
      </c>
      <c r="P12" s="188">
        <f>IFERROR(IF(AND(P7&lt;&gt;"",P8&lt;&gt;"",P10&lt;&gt;""),(P7+P8-P9-P10)-(O7+O8-O9-O10),(O12/'1.IS'!O3)*'1.IS'!P3),"")</f>
        <v>-632.96331009655989</v>
      </c>
      <c r="Q12" s="13"/>
      <c r="R12" s="316"/>
    </row>
    <row r="13" spans="1:18" s="6" customFormat="1" ht="25" customHeight="1" thickTop="1" x14ac:dyDescent="0.2">
      <c r="A13" s="18" t="s">
        <v>108</v>
      </c>
      <c r="B13" s="122">
        <f>'1.IS'!B19</f>
        <v>-26</v>
      </c>
      <c r="C13" s="88">
        <f>'1.IS'!C19</f>
        <v>-35</v>
      </c>
      <c r="D13" s="88">
        <f>'1.IS'!D19</f>
        <v>-45</v>
      </c>
      <c r="E13" s="88">
        <f>'1.IS'!E19</f>
        <v>-45</v>
      </c>
      <c r="F13" s="88">
        <f>'1.IS'!F19</f>
        <v>-57</v>
      </c>
      <c r="G13" s="88">
        <f>'1.IS'!G19</f>
        <v>-72</v>
      </c>
      <c r="H13" s="88">
        <f>'1.IS'!H19</f>
        <v>-71</v>
      </c>
      <c r="I13" s="88">
        <f>'1.IS'!I19</f>
        <v>0</v>
      </c>
      <c r="J13" s="88">
        <f>'1.IS'!J19</f>
        <v>0</v>
      </c>
      <c r="K13" s="88">
        <f>'1.IS'!K19</f>
        <v>0</v>
      </c>
      <c r="L13" s="122">
        <f>'1.IS'!L19</f>
        <v>0</v>
      </c>
      <c r="M13" s="88">
        <f>'1.IS'!M19</f>
        <v>0</v>
      </c>
      <c r="N13" s="88">
        <f>'1.IS'!N19</f>
        <v>0</v>
      </c>
      <c r="O13" s="88">
        <f>'1.IS'!O19</f>
        <v>0</v>
      </c>
      <c r="P13" s="126">
        <f>'1.IS'!P19</f>
        <v>0</v>
      </c>
      <c r="Q13" s="13"/>
      <c r="R13" s="316"/>
    </row>
    <row r="14" spans="1:18" s="6" customFormat="1" ht="25" customHeight="1" x14ac:dyDescent="0.2">
      <c r="A14" s="73" t="s">
        <v>13</v>
      </c>
      <c r="B14" s="123">
        <f>B3+B4+B5+B6-B12+B13</f>
        <v>-338</v>
      </c>
      <c r="C14" s="89">
        <f t="shared" ref="C14:H14" si="3">C3+C4+C5+C6-C12+C13</f>
        <v>1252</v>
      </c>
      <c r="D14" s="89">
        <f t="shared" si="3"/>
        <v>431</v>
      </c>
      <c r="E14" s="89">
        <f t="shared" si="3"/>
        <v>917</v>
      </c>
      <c r="F14" s="89">
        <f t="shared" si="3"/>
        <v>2960</v>
      </c>
      <c r="G14" s="89">
        <f t="shared" si="3"/>
        <v>1472</v>
      </c>
      <c r="H14" s="89">
        <f t="shared" si="3"/>
        <v>-501</v>
      </c>
      <c r="I14" s="89">
        <f t="shared" ref="I14:K14" si="4">I3+I4+I5+I6-I12+I13</f>
        <v>3307</v>
      </c>
      <c r="J14" s="89">
        <f t="shared" si="4"/>
        <v>2236</v>
      </c>
      <c r="K14" s="89">
        <f t="shared" si="4"/>
        <v>3245</v>
      </c>
      <c r="L14" s="123">
        <f>IFERROR(L3+L4+L5+L6-L12+L13,"")</f>
        <v>1884.4090506996383</v>
      </c>
      <c r="M14" s="89">
        <f t="shared" ref="M14:P14" si="5">IFERROR(M3+M4+M5+M6-M12+M13,"")</f>
        <v>2070.2210783130513</v>
      </c>
      <c r="N14" s="89">
        <f t="shared" si="5"/>
        <v>2274.3550884031415</v>
      </c>
      <c r="O14" s="89">
        <f t="shared" si="5"/>
        <v>2498.6177188188512</v>
      </c>
      <c r="P14" s="128">
        <f t="shared" si="5"/>
        <v>2744.9937508126259</v>
      </c>
      <c r="Q14" s="13"/>
    </row>
    <row r="15" spans="1:18" s="6" customFormat="1" ht="25" customHeight="1" x14ac:dyDescent="0.2">
      <c r="A15" s="129" t="s">
        <v>93</v>
      </c>
      <c r="B15" s="124">
        <f>IFERROR(B14/'1.IS'!B3,"")</f>
        <v>-2.8470590217235655E-3</v>
      </c>
      <c r="C15" s="22">
        <f>IFERROR(C14/'1.IS'!C3,"")</f>
        <v>9.7035458244526251E-3</v>
      </c>
      <c r="D15" s="22">
        <f>IFERROR(D14/'1.IS'!D3,"")</f>
        <v>3.0443012940046337E-3</v>
      </c>
      <c r="E15" s="22">
        <f>IFERROR(E14/'1.IS'!E3,"")</f>
        <v>6.0051210519767133E-3</v>
      </c>
      <c r="F15" s="22">
        <f>IFERROR(F14/'1.IS'!F3,"")</f>
        <v>1.774995352630411E-2</v>
      </c>
      <c r="G15" s="22">
        <f>IFERROR(G14/'1.IS'!G3,"")</f>
        <v>7.5129256006002173E-3</v>
      </c>
      <c r="H15" s="62">
        <f>IFERROR(H14/'1.IS'!H3,"")</f>
        <v>-2.2074957920988395E-3</v>
      </c>
      <c r="I15" s="62">
        <f>IFERROR(I14/'1.IS'!I3,"")</f>
        <v>1.3648933096702299E-2</v>
      </c>
      <c r="J15" s="62">
        <f>IFERROR(J14/'1.IS'!J3,"")</f>
        <v>8.7874774516315396E-3</v>
      </c>
      <c r="K15" s="62">
        <f>IFERROR(K14/'1.IS'!K3,"")</f>
        <v>1.1789924973204717E-2</v>
      </c>
      <c r="L15" s="54">
        <f>IFERROR(L14/'1.IS'!L3,"")</f>
        <v>6.2320363395408293E-3</v>
      </c>
      <c r="M15" s="22">
        <f>IFERROR(M14/'1.IS'!M3,"")</f>
        <v>6.2320363395408276E-3</v>
      </c>
      <c r="N15" s="22">
        <f>IFERROR(N14/'1.IS'!N3,"")</f>
        <v>6.2320363395408302E-3</v>
      </c>
      <c r="O15" s="22">
        <f>IFERROR(O14/'1.IS'!O3,"")</f>
        <v>6.2320363395408293E-3</v>
      </c>
      <c r="P15" s="130">
        <f>IFERROR(P14/'1.IS'!P3,"")</f>
        <v>6.2320363395408293E-3</v>
      </c>
      <c r="Q15" s="13"/>
    </row>
    <row r="16" spans="1:18" s="6" customFormat="1" ht="25" customHeight="1" x14ac:dyDescent="0.2">
      <c r="A16" s="67" t="s">
        <v>11</v>
      </c>
      <c r="B16" s="125"/>
      <c r="C16" s="22">
        <f t="shared" ref="C16:P16" si="6">IFERROR((C14-B14)/B14,"")</f>
        <v>-4.7041420118343193</v>
      </c>
      <c r="D16" s="22">
        <f t="shared" si="6"/>
        <v>-0.65575079872204478</v>
      </c>
      <c r="E16" s="22">
        <f t="shared" si="6"/>
        <v>1.1276102088167053</v>
      </c>
      <c r="F16" s="22">
        <f t="shared" si="6"/>
        <v>2.2279171210468922</v>
      </c>
      <c r="G16" s="22">
        <f t="shared" si="6"/>
        <v>-0.50270270270270268</v>
      </c>
      <c r="H16" s="62">
        <f t="shared" si="6"/>
        <v>-1.3403532608695652</v>
      </c>
      <c r="I16" s="62">
        <f t="shared" ref="I16" si="7">IFERROR((I14-H14)/H14,"")</f>
        <v>-7.6007984031936129</v>
      </c>
      <c r="J16" s="62">
        <f t="shared" ref="J16" si="8">IFERROR((J14-I14)/I14,"")</f>
        <v>-0.3238584820078621</v>
      </c>
      <c r="K16" s="62">
        <f t="shared" ref="K16" si="9">IFERROR((K14-J14)/J14,"")</f>
        <v>0.45125223613595705</v>
      </c>
      <c r="L16" s="54">
        <f>IFERROR((L14-K14)/K14,"")</f>
        <v>-0.41928842813570466</v>
      </c>
      <c r="M16" s="22">
        <f t="shared" si="6"/>
        <v>9.8604932694642475E-2</v>
      </c>
      <c r="N16" s="22">
        <f t="shared" si="6"/>
        <v>9.8604932694643266E-2</v>
      </c>
      <c r="O16" s="22">
        <f t="shared" si="6"/>
        <v>9.8604932694642627E-2</v>
      </c>
      <c r="P16" s="130">
        <f t="shared" si="6"/>
        <v>9.8604932694642752E-2</v>
      </c>
      <c r="Q16" s="13"/>
    </row>
    <row r="17" spans="1:17" s="6" customFormat="1" ht="25" customHeight="1" x14ac:dyDescent="0.2">
      <c r="A17" s="67" t="s">
        <v>106</v>
      </c>
      <c r="B17" s="93">
        <f>IFERROR(B14/'1.IS'!B25,"")</f>
        <v>-0.76598830621402347</v>
      </c>
      <c r="C17" s="91">
        <f>IFERROR(C14/'1.IS'!C25,"")</f>
        <v>2.8393885789449813</v>
      </c>
      <c r="D17" s="91">
        <f>IFERROR(D14/'1.IS'!D25,"")</f>
        <v>0.9754883099834778</v>
      </c>
      <c r="E17" s="91">
        <f>IFERROR(E14/'1.IS'!E25,"")</f>
        <v>2.070351304976068</v>
      </c>
      <c r="F17" s="91">
        <f>IFERROR(F14/'1.IS'!F25,"")</f>
        <v>6.6681685064203648</v>
      </c>
      <c r="G17" s="91">
        <f>IFERROR(G14/'1.IS'!G25,"")</f>
        <v>3.3127039495892876</v>
      </c>
      <c r="H17" s="91">
        <f>IFERROR(H14/'1.IS'!H25,"")</f>
        <v>-1.126450220343556</v>
      </c>
      <c r="I17" s="91">
        <f>IFERROR(I14/'1.IS'!I25,"")</f>
        <v>7.4406569917876029</v>
      </c>
      <c r="J17" s="91">
        <f>IFERROR(J14/'1.IS'!J25,"")</f>
        <v>5.0274305243277277</v>
      </c>
      <c r="K17" s="91">
        <f>IFERROR(K14/'1.IS'!K25,"")</f>
        <v>7.2954136690647484</v>
      </c>
      <c r="L17" s="93">
        <f>IFERROR(L14/'1.IS'!L25,"")</f>
        <v>4.2327688281226195</v>
      </c>
      <c r="M17" s="91">
        <f>IFERROR(M14/'1.IS'!M25,"")</f>
        <v>4.6460110906938699</v>
      </c>
      <c r="N17" s="91">
        <f>IFERROR(N14/'1.IS'!N25,"")</f>
        <v>5.0995979065609269</v>
      </c>
      <c r="O17" s="91">
        <f>IFERROR(O14/'1.IS'!O25,"")</f>
        <v>5.5974680862668063</v>
      </c>
      <c r="P17" s="92">
        <f>IFERROR(P14/'1.IS'!P25,"")</f>
        <v>6.1439449836751665</v>
      </c>
      <c r="Q17" s="14"/>
    </row>
    <row r="18" spans="1:17" s="6" customFormat="1" ht="25" customHeight="1" x14ac:dyDescent="0.2">
      <c r="A18" s="67" t="s">
        <v>11</v>
      </c>
      <c r="B18" s="106"/>
      <c r="C18" s="10">
        <f>IFERROR((C17-B17)/B17,"")</f>
        <v>-4.7068301903705994</v>
      </c>
      <c r="D18" s="10">
        <f t="shared" ref="D18:P18" si="10">IFERROR((D17-C17)/C17,"")</f>
        <v>-0.65644423689767195</v>
      </c>
      <c r="E18" s="10">
        <f t="shared" si="10"/>
        <v>1.1223742855628216</v>
      </c>
      <c r="F18" s="10">
        <f t="shared" si="10"/>
        <v>2.2207908340934654</v>
      </c>
      <c r="G18" s="10">
        <f t="shared" si="10"/>
        <v>-0.50320632323557946</v>
      </c>
      <c r="H18" s="10">
        <f t="shared" si="10"/>
        <v>-1.3400395077511269</v>
      </c>
      <c r="I18" s="10">
        <f t="shared" si="10"/>
        <v>-7.6054024025298492</v>
      </c>
      <c r="J18" s="10">
        <f t="shared" si="10"/>
        <v>-0.32432975611204762</v>
      </c>
      <c r="K18" s="10">
        <f t="shared" si="10"/>
        <v>0.45112172784134041</v>
      </c>
      <c r="L18" s="106">
        <f t="shared" si="10"/>
        <v>-0.41980413721142029</v>
      </c>
      <c r="M18" s="10">
        <f t="shared" si="10"/>
        <v>9.7629301138691699E-2</v>
      </c>
      <c r="N18" s="10">
        <f t="shared" si="10"/>
        <v>9.7629301138692517E-2</v>
      </c>
      <c r="O18" s="10">
        <f t="shared" si="10"/>
        <v>9.7629301138691865E-2</v>
      </c>
      <c r="P18" s="114">
        <f t="shared" si="10"/>
        <v>9.7629301138692032E-2</v>
      </c>
      <c r="Q18" s="14"/>
    </row>
    <row r="19" spans="1:17" s="6" customFormat="1" ht="25" customHeight="1" x14ac:dyDescent="0.2">
      <c r="A19" s="164" t="s">
        <v>144</v>
      </c>
      <c r="B19" s="131">
        <f>IFERROR(VLOOKUP("Net Change in Cash*",'9.TIKR_CF'!$A:$K,COLUMN(B19),FALSE),"0")</f>
        <v>-1422</v>
      </c>
      <c r="C19" s="132">
        <f>IFERROR(VLOOKUP("Net Change in Cash*",'9.TIKR_CF'!$A:$K,COLUMN(C19),FALSE),"0")</f>
        <v>1167</v>
      </c>
      <c r="D19" s="132">
        <f>IFERROR(VLOOKUP("Net Change in Cash*",'9.TIKR_CF'!$A:$K,COLUMN(D19),FALSE),"0")</f>
        <v>1509</v>
      </c>
      <c r="E19" s="132">
        <f>IFERROR(VLOOKUP("Net Change in Cash*",'9.TIKR_CF'!$A:$K,COLUMN(E19),FALSE),"0")</f>
        <v>2329</v>
      </c>
      <c r="F19" s="132">
        <f>IFERROR(VLOOKUP("Net Change in Cash*",'9.TIKR_CF'!$A:$K,COLUMN(F19),FALSE),"0")</f>
        <v>3893</v>
      </c>
      <c r="G19" s="132">
        <f>IFERROR(VLOOKUP("Net Change in Cash*",'9.TIKR_CF'!$A:$K,COLUMN(G19),FALSE),"0")</f>
        <v>-1019</v>
      </c>
      <c r="H19" s="132">
        <f>IFERROR(VLOOKUP("Net Change in Cash*",'9.TIKR_CF'!$A:$K,COLUMN(H19),FALSE),"0")</f>
        <v>-1055</v>
      </c>
      <c r="I19" s="132">
        <f>IFERROR(VLOOKUP("Net Change in Cash*",'9.TIKR_CF'!$A:$K,COLUMN(I19),FALSE),"0")</f>
        <v>3497</v>
      </c>
      <c r="J19" s="132">
        <f>IFERROR(VLOOKUP("Net Change in Cash*",'9.TIKR_CF'!$A:$K,COLUMN(J19),FALSE),"0")</f>
        <v>-3794</v>
      </c>
      <c r="K19" s="132">
        <f>IFERROR(VLOOKUP("Net Change in Cash*",'9.TIKR_CF'!$A:$K,COLUMN(K19),FALSE),"0")</f>
        <v>4255</v>
      </c>
      <c r="L19" s="131">
        <f>IF('4.Valoración'!L4&gt;0,IFERROR('4.Valoración'!L4-'4.Valoración'!K4,0),IFERROR('4.Valoración'!K4-'4.Valoración'!L4,0))</f>
        <v>-4208.2742600646707</v>
      </c>
      <c r="M19" s="132">
        <f>IF('4.Valoración'!M4&gt;0,IFERROR('4.Valoración'!M4-'4.Valoración'!L4,0),IFERROR('4.Valoración'!L4-'4.Valoración'!M4,0))</f>
        <v>521.39584069405373</v>
      </c>
      <c r="N19" s="132">
        <f>IF('4.Valoración'!N4&gt;0,IFERROR('4.Valoración'!N4-'4.Valoración'!M4,0),IFERROR('4.Valoración'!M4-'4.Valoración'!N4,0))</f>
        <v>572.80804247295691</v>
      </c>
      <c r="O19" s="132">
        <f>IF('4.Valoración'!O4&gt;0,IFERROR('4.Valoración'!O4-'4.Valoración'!N4,0),IFERROR('4.Valoración'!N4-'4.Valoración'!O4,0))</f>
        <v>629.28974094795285</v>
      </c>
      <c r="P19" s="240">
        <f>IF('4.Valoración'!P4&gt;0,IFERROR('4.Valoración'!P4-'4.Valoración'!O4,0),IFERROR('4.Valoración'!O4-'4.Valoración'!P4,0))</f>
        <v>691.34081349955613</v>
      </c>
      <c r="Q19" s="14"/>
    </row>
    <row r="20" spans="1:17" s="6" customFormat="1" ht="24.75" customHeight="1" x14ac:dyDescent="0.2">
      <c r="A20" s="18"/>
      <c r="B20" s="12"/>
      <c r="C20" s="12"/>
      <c r="D20" s="12"/>
      <c r="E20" s="12"/>
      <c r="F20" s="12"/>
      <c r="G20" s="12"/>
      <c r="H20" s="12"/>
      <c r="I20" s="12"/>
      <c r="J20" s="12"/>
      <c r="K20" s="12"/>
      <c r="L20" s="12"/>
      <c r="M20" s="12"/>
      <c r="N20" s="12"/>
      <c r="O20" s="12"/>
      <c r="P20" s="12"/>
      <c r="Q20" s="7"/>
    </row>
    <row r="21" spans="1:17" s="6" customFormat="1" ht="35" customHeight="1" thickBot="1" x14ac:dyDescent="0.25">
      <c r="A21" s="103" t="s">
        <v>70</v>
      </c>
      <c r="B21" s="55">
        <f>'1.IS'!B$2</f>
        <v>2016</v>
      </c>
      <c r="C21" s="55">
        <f>'1.IS'!C$2</f>
        <v>2017</v>
      </c>
      <c r="D21" s="55">
        <f>'1.IS'!D$2</f>
        <v>2018</v>
      </c>
      <c r="E21" s="55">
        <f>'1.IS'!E$2</f>
        <v>2019</v>
      </c>
      <c r="F21" s="55">
        <f>'1.IS'!F$2</f>
        <v>2020</v>
      </c>
      <c r="G21" s="55">
        <f>'1.IS'!G$2</f>
        <v>2021</v>
      </c>
      <c r="H21" s="55">
        <f>'1.IS'!H$2</f>
        <v>2022</v>
      </c>
      <c r="I21" s="55">
        <f>'1.IS'!I$2</f>
        <v>2023</v>
      </c>
      <c r="J21" s="55">
        <f>'1.IS'!J$2</f>
        <v>2024</v>
      </c>
      <c r="K21" s="55">
        <f>'1.IS'!K$2</f>
        <v>2025</v>
      </c>
      <c r="L21" s="8" t="str">
        <f>'1.IS'!L$2</f>
        <v>2026e</v>
      </c>
      <c r="M21" s="8" t="str">
        <f>'1.IS'!M$2</f>
        <v>2027e</v>
      </c>
      <c r="N21" s="8" t="str">
        <f>'1.IS'!N$2</f>
        <v>2028e</v>
      </c>
      <c r="O21" s="8" t="str">
        <f>'1.IS'!O$2</f>
        <v>2029e</v>
      </c>
      <c r="P21" s="8" t="str">
        <f>'1.IS'!P$2</f>
        <v>2030e</v>
      </c>
      <c r="Q21" s="97" t="str">
        <f>"Promedio "&amp;CHAR(10)&amp;$B$2&amp;"-"&amp;$K$2</f>
        <v>Promedio 
2016-2025</v>
      </c>
    </row>
    <row r="22" spans="1:17" s="6" customFormat="1" ht="25" customHeight="1" thickTop="1" thickBot="1" x14ac:dyDescent="0.25">
      <c r="A22" s="18" t="s">
        <v>60</v>
      </c>
      <c r="B22" s="124">
        <f>IFERROR(ABS(B4)/'1.IS'!B$3,"")</f>
        <v>2.231319333889268E-2</v>
      </c>
      <c r="C22" s="22">
        <f>IFERROR(ABS(C4)/'1.IS'!C$3,"")</f>
        <v>1.9391590776981205E-2</v>
      </c>
      <c r="D22" s="22">
        <f>IFERROR(ABS(D4)/'1.IS'!D$3,"")</f>
        <v>2.0971068542690853E-2</v>
      </c>
      <c r="E22" s="22">
        <f>IFERROR(ABS(E4)/'1.IS'!E$3,"")</f>
        <v>1.9632882130671957E-2</v>
      </c>
      <c r="F22" s="22">
        <f>IFERROR(ABS(F4)/'1.IS'!F$3,"")</f>
        <v>1.685046263814681E-2</v>
      </c>
      <c r="G22" s="22">
        <f>IFERROR(ABS(G4)/'1.IS'!G$3,"")</f>
        <v>1.8312756151463029E-2</v>
      </c>
      <c r="H22" s="22">
        <f>IFERROR(ABS(H4)/'1.IS'!H$3,"")</f>
        <v>1.7144443367378411E-2</v>
      </c>
      <c r="I22" s="22">
        <f>IFERROR(ABS(I4)/'1.IS'!I$3,"")</f>
        <v>1.7842255148788642E-2</v>
      </c>
      <c r="J22" s="22">
        <f>IFERROR(ABS(J4)/'1.IS'!J$3,"")</f>
        <v>1.8510294632014555E-2</v>
      </c>
      <c r="K22" s="22">
        <f>IFERROR(ABS(K4)/'1.IS'!K$3,"")</f>
        <v>1.9975657165694771E-2</v>
      </c>
      <c r="L22" s="249">
        <f>IFERROR(ABS((K4*'1.IS'!L4)+'2.FCF'!K4)/'1.IS'!L$3,"")</f>
        <v>1.9975657165694771E-2</v>
      </c>
      <c r="M22" s="250">
        <f>$L$22</f>
        <v>1.9975657165694771E-2</v>
      </c>
      <c r="N22" s="250">
        <f t="shared" ref="N22:P22" si="11">$L$22</f>
        <v>1.9975657165694771E-2</v>
      </c>
      <c r="O22" s="250">
        <f t="shared" si="11"/>
        <v>1.9975657165694771E-2</v>
      </c>
      <c r="P22" s="251">
        <f t="shared" si="11"/>
        <v>1.9975657165694771E-2</v>
      </c>
      <c r="Q22" s="133">
        <f>IFERROR(AVERAGE(B22:K22),"")</f>
        <v>1.9094460389272296E-2</v>
      </c>
    </row>
    <row r="23" spans="1:17" s="6" customFormat="1" ht="24.75" customHeight="1" thickTop="1" x14ac:dyDescent="0.2">
      <c r="A23" s="18" t="s">
        <v>59</v>
      </c>
      <c r="B23" s="124">
        <f>IFERROR(B11/'1.IS'!B$3,"")</f>
        <v>1.0503794674820374E-2</v>
      </c>
      <c r="C23" s="22">
        <f>IFERROR(C11/'1.IS'!C$3,"")</f>
        <v>1.2400697539236582E-3</v>
      </c>
      <c r="D23" s="22">
        <f>IFERROR(D11/'1.IS'!D$3,"")</f>
        <v>-1.0736282985816805E-3</v>
      </c>
      <c r="E23" s="22">
        <f>IFERROR(E11/'1.IS'!E$3,"")</f>
        <v>-3.0123835157135092E-3</v>
      </c>
      <c r="F23" s="22">
        <f>IFERROR(F11/'1.IS'!F$3,"")</f>
        <v>-1.3378427809859619E-2</v>
      </c>
      <c r="G23" s="22">
        <f>IFERROR(G11/'1.IS'!G$3,"")</f>
        <v>-1.1749154030286481E-2</v>
      </c>
      <c r="H23" s="22">
        <f>IFERROR(H11/'1.IS'!H$3,"")</f>
        <v>5.5517858244401948E-4</v>
      </c>
      <c r="I23" s="22">
        <f>IFERROR(I11/'1.IS'!I$3,"")</f>
        <v>-3.6485203681538652E-3</v>
      </c>
      <c r="J23" s="22">
        <f>IFERROR(J11/'1.IS'!J$3,"")</f>
        <v>-2.177219368606383E-3</v>
      </c>
      <c r="K23" s="22">
        <f>IFERROR(K11/'1.IS'!K$3,"")</f>
        <v>-4.7886351663124242E-3</v>
      </c>
      <c r="L23" s="124">
        <f>IFERROR(L11/'1.IS'!L$3,"")</f>
        <v>-5.7958671202494429E-3</v>
      </c>
      <c r="M23" s="22">
        <f>IFERROR(M11/'1.IS'!M$3,"")</f>
        <v>-6.7126952938372803E-3</v>
      </c>
      <c r="N23" s="22">
        <f>IFERROR(N11/'1.IS'!N$3,"")</f>
        <v>-7.5472338493297033E-3</v>
      </c>
      <c r="O23" s="22">
        <f>IFERROR(O11/'1.IS'!O$3,"")</f>
        <v>-8.3068686649548969E-3</v>
      </c>
      <c r="P23" s="22">
        <f>IFERROR(P11/'1.IS'!P$3,"")</f>
        <v>-8.9983227018141446E-3</v>
      </c>
      <c r="Q23" s="133">
        <f>IFERROR(AVERAGE(B23:K23),"")</f>
        <v>-2.7528925546325906E-3</v>
      </c>
    </row>
    <row r="24" spans="1:17" s="6" customFormat="1" ht="25" customHeight="1" x14ac:dyDescent="0.2">
      <c r="A24" s="18" t="s">
        <v>64</v>
      </c>
      <c r="B24" s="124">
        <f>IFERROR(B14/'1.IS'!B$3,"")</f>
        <v>-2.8470590217235655E-3</v>
      </c>
      <c r="C24" s="22">
        <f>IFERROR(C14/'1.IS'!C$3,"")</f>
        <v>9.7035458244526251E-3</v>
      </c>
      <c r="D24" s="22">
        <f>IFERROR(D14/'1.IS'!D$3,"")</f>
        <v>3.0443012940046337E-3</v>
      </c>
      <c r="E24" s="22">
        <f>IFERROR(E14/'1.IS'!E$3,"")</f>
        <v>6.0051210519767133E-3</v>
      </c>
      <c r="F24" s="22">
        <f>IFERROR(F14/'1.IS'!F$3,"")</f>
        <v>1.774995352630411E-2</v>
      </c>
      <c r="G24" s="22">
        <f>IFERROR(G14/'1.IS'!G$3,"")</f>
        <v>7.5129256006002173E-3</v>
      </c>
      <c r="H24" s="22">
        <f>IFERROR(H14/'1.IS'!H$3,"")</f>
        <v>-2.2074957920988395E-3</v>
      </c>
      <c r="I24" s="22">
        <f>IFERROR(I14/'1.IS'!I$3,"")</f>
        <v>1.3648933096702299E-2</v>
      </c>
      <c r="J24" s="22">
        <f>IFERROR(J14/'1.IS'!J$3,"")</f>
        <v>8.7874774516315396E-3</v>
      </c>
      <c r="K24" s="22">
        <f>IFERROR(K14/'1.IS'!K$3,"")</f>
        <v>1.1789924973204717E-2</v>
      </c>
      <c r="L24" s="124">
        <f>IFERROR(L14/'1.IS'!L$3,"")</f>
        <v>6.2320363395408293E-3</v>
      </c>
      <c r="M24" s="22">
        <f>IFERROR(M14/'1.IS'!M$3,"")</f>
        <v>6.2320363395408276E-3</v>
      </c>
      <c r="N24" s="22">
        <f>IFERROR(N14/'1.IS'!N$3,"")</f>
        <v>6.2320363395408302E-3</v>
      </c>
      <c r="O24" s="22">
        <f>IFERROR(O14/'1.IS'!O$3,"")</f>
        <v>6.2320363395408293E-3</v>
      </c>
      <c r="P24" s="22">
        <f>IFERROR(P14/'1.IS'!P$3,"")</f>
        <v>6.2320363395408293E-3</v>
      </c>
      <c r="Q24" s="133">
        <f>IFERROR(AVERAGE(B24:K24),"")</f>
        <v>7.3187628005054444E-3</v>
      </c>
    </row>
    <row r="25" spans="1:17" ht="25" customHeight="1" x14ac:dyDescent="0.2">
      <c r="A25" s="23" t="s">
        <v>76</v>
      </c>
      <c r="B25" s="120">
        <f t="shared" ref="B25:P25" si="12">IFERROR(B14/B3,"")</f>
        <v>-9.2047930283224402E-2</v>
      </c>
      <c r="C25" s="121">
        <f t="shared" si="12"/>
        <v>0.30454877158842131</v>
      </c>
      <c r="D25" s="121">
        <f t="shared" si="12"/>
        <v>9.6205357142857148E-2</v>
      </c>
      <c r="E25" s="121">
        <f t="shared" si="12"/>
        <v>0.19358243614101753</v>
      </c>
      <c r="F25" s="121">
        <f t="shared" si="12"/>
        <v>0.54461821527138909</v>
      </c>
      <c r="G25" s="121">
        <f t="shared" si="12"/>
        <v>0.21672555948174324</v>
      </c>
      <c r="H25" s="121">
        <f t="shared" si="12"/>
        <v>-6.3329541145240809E-2</v>
      </c>
      <c r="I25" s="121">
        <f t="shared" ref="I25:K25" si="13">IFERROR(I14/I3,"")</f>
        <v>0.38883009994121104</v>
      </c>
      <c r="J25" s="121">
        <f t="shared" si="13"/>
        <v>0.24081852450188476</v>
      </c>
      <c r="K25" s="121">
        <f t="shared" si="13"/>
        <v>0.31253009727439085</v>
      </c>
      <c r="L25" s="120">
        <f t="shared" si="12"/>
        <v>0.18498826999095391</v>
      </c>
      <c r="M25" s="121">
        <f t="shared" si="12"/>
        <v>0.18498826999095386</v>
      </c>
      <c r="N25" s="121">
        <f t="shared" si="12"/>
        <v>0.18498826999095394</v>
      </c>
      <c r="O25" s="121">
        <f t="shared" si="12"/>
        <v>0.18498826999095391</v>
      </c>
      <c r="P25" s="121">
        <f t="shared" si="12"/>
        <v>0.18498826999095389</v>
      </c>
      <c r="Q25" s="134">
        <f>IFERROR(AVERAGE(B25:K25),"")</f>
        <v>0.21424815899144498</v>
      </c>
    </row>
    <row r="26" spans="1:17" ht="25" customHeight="1" x14ac:dyDescent="0.2">
      <c r="A26" s="67"/>
      <c r="B26" s="10"/>
      <c r="C26" s="10"/>
      <c r="D26" s="10"/>
      <c r="E26" s="10"/>
      <c r="F26" s="10"/>
      <c r="G26" s="10"/>
      <c r="H26" s="10"/>
      <c r="I26" s="10"/>
      <c r="J26" s="10"/>
      <c r="K26" s="10"/>
      <c r="L26" s="10"/>
      <c r="M26" s="10"/>
      <c r="N26" s="10"/>
      <c r="O26" s="10"/>
      <c r="P26" s="10"/>
      <c r="Q26" s="101"/>
    </row>
    <row r="27" spans="1:17" ht="35" customHeight="1" x14ac:dyDescent="0.2">
      <c r="A27" s="103" t="s">
        <v>134</v>
      </c>
      <c r="B27" s="55">
        <f>'1.IS'!B$2</f>
        <v>2016</v>
      </c>
      <c r="C27" s="55">
        <f>'1.IS'!C$2</f>
        <v>2017</v>
      </c>
      <c r="D27" s="55">
        <f>'1.IS'!D$2</f>
        <v>2018</v>
      </c>
      <c r="E27" s="55">
        <f>'1.IS'!E$2</f>
        <v>2019</v>
      </c>
      <c r="F27" s="55">
        <f>'1.IS'!F$2</f>
        <v>2020</v>
      </c>
      <c r="G27" s="55">
        <f>'1.IS'!G$2</f>
        <v>2021</v>
      </c>
      <c r="H27" s="55">
        <f>'1.IS'!H$2</f>
        <v>2022</v>
      </c>
      <c r="I27" s="55">
        <f>'1.IS'!I$2</f>
        <v>2023</v>
      </c>
      <c r="J27" s="55">
        <f>'1.IS'!J$2</f>
        <v>2024</v>
      </c>
      <c r="K27" s="55">
        <f>'1.IS'!K$2</f>
        <v>2025</v>
      </c>
      <c r="L27" s="194" t="str">
        <f>"Promedio "&amp;CHAR(10)&amp;$B$2&amp;"-"&amp;$K$2</f>
        <v>Promedio 
2016-2025</v>
      </c>
      <c r="M27" s="69"/>
      <c r="N27" s="10"/>
      <c r="O27" s="10"/>
      <c r="P27" s="10"/>
      <c r="Q27" s="101"/>
    </row>
    <row r="28" spans="1:17" ht="25" customHeight="1" x14ac:dyDescent="0.2">
      <c r="A28" s="18" t="s">
        <v>159</v>
      </c>
      <c r="B28" s="124" t="str">
        <f>IF(B14&gt;0,IFERROR(TIKR_Cálculos!B40/B$14,""),"-")</f>
        <v>-</v>
      </c>
      <c r="C28" s="22">
        <f>IF(C14&gt;0,IFERROR(TIKR_Cálculos!C40/C$14,""),"-")</f>
        <v>0</v>
      </c>
      <c r="D28" s="22">
        <f>IF(D14&gt;0,IFERROR(TIKR_Cálculos!D40/D$14,""),"-")</f>
        <v>0</v>
      </c>
      <c r="E28" s="22">
        <f>IF(E14&gt;0,IFERROR(TIKR_Cálculos!E40/E$14,""),"-")</f>
        <v>0</v>
      </c>
      <c r="F28" s="22">
        <f>IF(F14&gt;0,IFERROR(TIKR_Cálculos!F40/F$14,""),"-")</f>
        <v>0</v>
      </c>
      <c r="G28" s="22">
        <f>IF(G14&gt;0,IFERROR(TIKR_Cálculos!G40/G$14,""),"-")</f>
        <v>0</v>
      </c>
      <c r="H28" s="22" t="str">
        <f>IF(H14&gt;0,IFERROR(TIKR_Cálculos!H40/H$14,""),"-")</f>
        <v>-</v>
      </c>
      <c r="I28" s="22">
        <f>IF(I14&gt;0,IFERROR(TIKR_Cálculos!I40/I$14,""),"-")</f>
        <v>0</v>
      </c>
      <c r="J28" s="22">
        <f>IF(J14&gt;0,IFERROR(TIKR_Cálculos!J40/J$14,""),"-")</f>
        <v>0</v>
      </c>
      <c r="K28" s="22">
        <f>IF(K14&gt;0,IFERROR(TIKR_Cálculos!K40/K$14,""),"-")</f>
        <v>0</v>
      </c>
      <c r="L28" s="253">
        <f>IFERROR(AVERAGE(B28:K28),"")</f>
        <v>0</v>
      </c>
      <c r="M28" s="252"/>
      <c r="N28" s="6"/>
      <c r="O28" s="10"/>
      <c r="P28" s="10"/>
      <c r="Q28" s="101"/>
    </row>
    <row r="29" spans="1:17" ht="25" customHeight="1" x14ac:dyDescent="0.2">
      <c r="A29" s="18" t="s">
        <v>181</v>
      </c>
      <c r="B29" s="124" t="str">
        <f>IF(B14&gt;0,IFERROR(TIKR_Cálculos!B43/B$14,""),"-")</f>
        <v>-</v>
      </c>
      <c r="C29" s="22">
        <f>IF(C14&gt;0,IFERROR(TIKR_Cálculos!C43/C$14,""),"-")</f>
        <v>0</v>
      </c>
      <c r="D29" s="22">
        <f>IF(D14&gt;0,IFERROR(TIKR_Cálculos!D43/D$14,""),"-")</f>
        <v>0</v>
      </c>
      <c r="E29" s="22">
        <f>IF(E14&gt;0,IFERROR(TIKR_Cálculos!E43/E$14,""),"-")</f>
        <v>0</v>
      </c>
      <c r="F29" s="22">
        <f>IF(F14&gt;0,IFERROR(TIKR_Cálculos!F43/F$14,""),"-")</f>
        <v>0.39290540540540542</v>
      </c>
      <c r="G29" s="22">
        <f>IF(G14&gt;0,IFERROR(TIKR_Cálculos!G43/G$14,""),"-")</f>
        <v>0</v>
      </c>
      <c r="H29" s="22" t="str">
        <f>IF(H14&gt;0,IFERROR(TIKR_Cálculos!H43/H$14,""),"-")</f>
        <v>-</v>
      </c>
      <c r="I29" s="22">
        <f>IF(I14&gt;0,IFERROR(TIKR_Cálculos!I43/I$14,""),"-")</f>
        <v>0</v>
      </c>
      <c r="J29" s="22">
        <f>IF(J14&gt;0,IFERROR(TIKR_Cálculos!J43/J$14,""),"-")</f>
        <v>0</v>
      </c>
      <c r="K29" s="22">
        <f>IF(K14&gt;0,IFERROR(TIKR_Cálculos!K43/K$14,""),"-")</f>
        <v>0</v>
      </c>
      <c r="L29" s="254">
        <f>IFERROR(AVERAGE(B29:K29),"")</f>
        <v>4.9113175675675677E-2</v>
      </c>
      <c r="M29" s="252"/>
      <c r="N29" s="6"/>
      <c r="O29" s="10"/>
      <c r="P29" s="10"/>
      <c r="Q29" s="101"/>
    </row>
    <row r="30" spans="1:17" ht="25" customHeight="1" x14ac:dyDescent="0.2">
      <c r="A30" s="18" t="s">
        <v>136</v>
      </c>
      <c r="B30" s="124" t="str">
        <f>IF(B14&gt;0,IFERROR(TIKR_Cálculos!B41/B$14,""),"-")</f>
        <v>-</v>
      </c>
      <c r="C30" s="22">
        <f>IF(C14&gt;0,IFERROR(TIKR_Cálculos!C41/C$14,""),"-")</f>
        <v>0</v>
      </c>
      <c r="D30" s="22">
        <f>IF(D14&gt;0,IFERROR(TIKR_Cálculos!D41/D$14,""),"-")</f>
        <v>0</v>
      </c>
      <c r="E30" s="22">
        <f>IF(E14&gt;0,IFERROR(TIKR_Cálculos!E41/E$14,""),"-")</f>
        <v>0</v>
      </c>
      <c r="F30" s="22">
        <f>IF(F14&gt;0,IFERROR(TIKR_Cálculos!F41/F$14,""),"-")</f>
        <v>0</v>
      </c>
      <c r="G30" s="22">
        <f>IF(G14&gt;0,IFERROR(TIKR_Cálculos!G41/G$14,""),"-")</f>
        <v>0</v>
      </c>
      <c r="H30" s="22" t="str">
        <f>IF(H14&gt;0,IFERROR(TIKR_Cálculos!H41/H$14,""),"-")</f>
        <v>-</v>
      </c>
      <c r="I30" s="22">
        <f>IF(I14&gt;0,IFERROR(TIKR_Cálculos!I41/I$14,""),"-")</f>
        <v>0</v>
      </c>
      <c r="J30" s="22">
        <f>IF(J14&gt;0,IFERROR(TIKR_Cálculos!J41/J$14,""),"-")</f>
        <v>0</v>
      </c>
      <c r="K30" s="22">
        <f>IF(K14&gt;0,IFERROR(TIKR_Cálculos!K41/K$14,""),"-")</f>
        <v>0</v>
      </c>
      <c r="L30" s="254">
        <f>IFERROR(AVERAGE(B30:K30),"")</f>
        <v>0</v>
      </c>
      <c r="M30" s="252"/>
      <c r="N30" s="6"/>
    </row>
    <row r="31" spans="1:17" ht="25" customHeight="1" x14ac:dyDescent="0.2">
      <c r="A31" s="18" t="s">
        <v>135</v>
      </c>
      <c r="B31" s="124" t="str">
        <f>IF(B14&gt;0,IFERROR(TIKR_Cálculos!B42/B$14,""),"-")</f>
        <v>-</v>
      </c>
      <c r="C31" s="22">
        <f>IF(C14&gt;0,IFERROR(TIKR_Cálculos!C42/C$14,""),"-")</f>
        <v>0.37460063897763579</v>
      </c>
      <c r="D31" s="22">
        <f>IF(D14&gt;0,IFERROR(TIKR_Cálculos!D42/D$14,""),"-")</f>
        <v>0.76102088167053361</v>
      </c>
      <c r="E31" s="22">
        <f>IF(E14&gt;0,IFERROR(TIKR_Cálculos!E42/E$14,""),"-")</f>
        <v>0.26935659760087238</v>
      </c>
      <c r="F31" s="22">
        <f>IF(F14&gt;0,IFERROR(TIKR_Cálculos!F42/F$14,""),"-")</f>
        <v>6.621621621621622E-2</v>
      </c>
      <c r="G31" s="22">
        <f>IF(G14&gt;0,IFERROR(TIKR_Cálculos!G42/G$14,""),"-")</f>
        <v>0.33695652173913043</v>
      </c>
      <c r="H31" s="22" t="str">
        <f>IF(H14&gt;0,IFERROR(TIKR_Cálculos!H42/H$14,""),"-")</f>
        <v>-</v>
      </c>
      <c r="I31" s="22">
        <f>IF(I14&gt;0,IFERROR(TIKR_Cálculos!I42/I$14,""),"-")</f>
        <v>0.20441487753250681</v>
      </c>
      <c r="J31" s="22">
        <f>IF(J14&gt;0,IFERROR(TIKR_Cálculos!J42/J$14,""),"-")</f>
        <v>0.31305903398926654</v>
      </c>
      <c r="K31" s="22">
        <f>IF(K14&gt;0,IFERROR(TIKR_Cálculos!K42/K$14,""),"-")</f>
        <v>0.27827426810477657</v>
      </c>
      <c r="L31" s="254">
        <f>IFERROR(AVERAGE(B31:K31),"")</f>
        <v>0.32548737947886736</v>
      </c>
      <c r="M31" s="252"/>
      <c r="N31" s="6"/>
    </row>
    <row r="32" spans="1:17" ht="25" customHeight="1" x14ac:dyDescent="0.2">
      <c r="A32" s="173" t="s">
        <v>195</v>
      </c>
      <c r="B32" s="142" t="str">
        <f>IF(B14&gt;0,IFERROR(IF(TIKR_Cálculos!B44&gt;0,TIKR_Cálculos!B44,0)/B14,""),"-")</f>
        <v>-</v>
      </c>
      <c r="C32" s="139">
        <f>IF(C14&gt;0,IFERROR(IF(TIKR_Cálculos!C44&gt;0,TIKR_Cálculos!C44,0)/C14,""),"-")</f>
        <v>0</v>
      </c>
      <c r="D32" s="139">
        <f>IF(D14&gt;0,IFERROR(IF(TIKR_Cálculos!D44&gt;0,TIKR_Cálculos!D44,0)/D14,""),"-")</f>
        <v>1.3921113689095127E-2</v>
      </c>
      <c r="E32" s="139">
        <f>IF(E14&gt;0,IFERROR(IF(TIKR_Cálculos!E44&gt;0,TIKR_Cálculos!E44,0)/E14,""),"-")</f>
        <v>0</v>
      </c>
      <c r="F32" s="139">
        <f>IF(F14&gt;0,IFERROR(IF(TIKR_Cálculos!F44&gt;0,TIKR_Cálculos!F44,0)/F14,""),"-")</f>
        <v>0</v>
      </c>
      <c r="G32" s="139">
        <f>IF(G14&gt;0,IFERROR(IF(TIKR_Cálculos!G44&gt;0,TIKR_Cálculos!G44,0)/G14,""),"-")</f>
        <v>8.1521739130434784E-2</v>
      </c>
      <c r="H32" s="139" t="str">
        <f>IF(H14&gt;0,IFERROR(IF(TIKR_Cálculos!H44&gt;0,TIKR_Cálculos!H44,0)/H14,""),"-")</f>
        <v>-</v>
      </c>
      <c r="I32" s="139">
        <f>IF(I14&gt;0,IFERROR(IF(TIKR_Cálculos!I44&gt;0,TIKR_Cálculos!I44,0)/I14,""),"-")</f>
        <v>0.11611732688237072</v>
      </c>
      <c r="J32" s="139">
        <f>IF(J14&gt;0,IFERROR(IF(TIKR_Cálculos!J44&gt;0,TIKR_Cálculos!J44,0)/J14,""),"-")</f>
        <v>0.31663685152057247</v>
      </c>
      <c r="K32" s="139">
        <f>IF(K14&gt;0,IFERROR(IF(TIKR_Cálculos!K44&gt;0,TIKR_Cálculos!K44,0)/K14,""),"-")</f>
        <v>9.1217257318952236E-2</v>
      </c>
      <c r="L32" s="134">
        <f>IFERROR(AVERAGE(B32:K32),"")</f>
        <v>7.7426786067678166E-2</v>
      </c>
      <c r="M32" s="252"/>
      <c r="N32" s="4"/>
    </row>
    <row r="33" spans="1:17" ht="25" customHeight="1" x14ac:dyDescent="0.2">
      <c r="A33" s="172" t="s">
        <v>138</v>
      </c>
      <c r="B33" s="101">
        <f t="shared" ref="B33:K33" si="14">SUM(B28:B32)</f>
        <v>0</v>
      </c>
      <c r="C33" s="101">
        <f t="shared" si="14"/>
        <v>0.37460063897763579</v>
      </c>
      <c r="D33" s="101">
        <f t="shared" si="14"/>
        <v>0.77494199535962871</v>
      </c>
      <c r="E33" s="101">
        <f t="shared" si="14"/>
        <v>0.26935659760087238</v>
      </c>
      <c r="F33" s="101">
        <f t="shared" si="14"/>
        <v>0.45912162162162162</v>
      </c>
      <c r="G33" s="101">
        <f t="shared" si="14"/>
        <v>0.41847826086956519</v>
      </c>
      <c r="H33" s="101">
        <f t="shared" si="14"/>
        <v>0</v>
      </c>
      <c r="I33" s="101">
        <f t="shared" si="14"/>
        <v>0.32053220441487751</v>
      </c>
      <c r="J33" s="101">
        <f t="shared" si="14"/>
        <v>0.62969588550983902</v>
      </c>
      <c r="K33" s="101">
        <f t="shared" si="14"/>
        <v>0.36949152542372882</v>
      </c>
      <c r="L33" s="101">
        <f>SUM(L28:L32)</f>
        <v>0.45202734122222121</v>
      </c>
      <c r="M33" s="213"/>
    </row>
    <row r="35" spans="1:17" ht="40" customHeight="1" x14ac:dyDescent="0.2">
      <c r="L35" s="4"/>
      <c r="M35" s="4"/>
      <c r="N35" s="10"/>
      <c r="O35" s="10"/>
      <c r="P35" s="10"/>
      <c r="Q35" s="101"/>
    </row>
    <row r="36" spans="1:17" ht="25" customHeight="1" x14ac:dyDescent="0.2">
      <c r="L36" s="4"/>
      <c r="M36" s="4"/>
      <c r="N36" s="10"/>
      <c r="O36" s="10"/>
      <c r="P36" s="10"/>
      <c r="Q36" s="101"/>
    </row>
    <row r="37" spans="1:17" ht="25" customHeight="1" x14ac:dyDescent="0.2">
      <c r="L37" s="4"/>
      <c r="M37" s="4"/>
      <c r="N37" s="6"/>
      <c r="O37" s="10"/>
      <c r="P37" s="10"/>
      <c r="Q37" s="101"/>
    </row>
    <row r="38" spans="1:17" ht="25" customHeight="1" x14ac:dyDescent="0.2">
      <c r="L38" s="4"/>
      <c r="M38" s="4"/>
      <c r="N38" s="6"/>
      <c r="O38" s="10"/>
      <c r="P38" s="10"/>
      <c r="Q38" s="101"/>
    </row>
    <row r="39" spans="1:17" ht="25" customHeight="1" x14ac:dyDescent="0.2">
      <c r="L39" s="4"/>
      <c r="M39" s="4"/>
      <c r="N39" s="6"/>
    </row>
    <row r="40" spans="1:17" ht="25" customHeight="1" x14ac:dyDescent="0.2">
      <c r="L40" s="101"/>
      <c r="M40" s="101"/>
    </row>
    <row r="41" spans="1:17" ht="40" customHeight="1" x14ac:dyDescent="0.2">
      <c r="L41" s="4"/>
      <c r="M41" s="4"/>
      <c r="N41" s="10"/>
      <c r="O41" s="10"/>
      <c r="P41" s="10"/>
      <c r="Q41" s="101"/>
    </row>
    <row r="42" spans="1:17" ht="25" customHeight="1" x14ac:dyDescent="0.2">
      <c r="L42" s="213"/>
      <c r="M42" s="101"/>
      <c r="N42" s="6"/>
    </row>
    <row r="43" spans="1:17" ht="25" customHeight="1" x14ac:dyDescent="0.2">
      <c r="L43" s="213"/>
      <c r="M43" s="101"/>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9"/>
      <c r="M63" s="69"/>
    </row>
    <row r="64" spans="12:13" ht="17" x14ac:dyDescent="0.2">
      <c r="L64" s="213"/>
      <c r="M64" s="213"/>
    </row>
    <row r="65" spans="12:13" ht="17" x14ac:dyDescent="0.2">
      <c r="L65" s="213"/>
      <c r="M65" s="213"/>
    </row>
    <row r="66" spans="12:13" ht="17" x14ac:dyDescent="0.2">
      <c r="L66" s="213"/>
      <c r="M66" s="213"/>
    </row>
    <row r="67" spans="12:13" ht="17" x14ac:dyDescent="0.2">
      <c r="L67" s="213"/>
      <c r="M67" s="213"/>
    </row>
    <row r="68" spans="12:13" ht="17" x14ac:dyDescent="0.2">
      <c r="L68" s="213"/>
      <c r="M68" s="213"/>
    </row>
  </sheetData>
  <mergeCells count="2">
    <mergeCell ref="R11:R13"/>
    <mergeCell ref="O1:P1"/>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48576"/>
  <sheetViews>
    <sheetView showGridLines="0" tabSelected="1" zoomScaleNormal="100" workbookViewId="0">
      <pane xSplit="1" ySplit="2" topLeftCell="B3" activePane="bottomRight" state="frozen"/>
      <selection pane="topRight" activeCell="B1" sqref="B1"/>
      <selection pane="bottomLeft" activeCell="A3" sqref="A3"/>
      <selection pane="bottomRight" activeCell="B4" sqref="B4:K10"/>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48" t="str">
        <f>IF('1.IS'!A1&lt;&gt;"",'1.IS'!A1,"")</f>
        <v/>
      </c>
      <c r="B1" s="17" t="s">
        <v>88</v>
      </c>
      <c r="O1" s="313" t="e" vm="1">
        <v>#VALUE!</v>
      </c>
      <c r="P1" s="313"/>
      <c r="V1" s="21"/>
    </row>
    <row r="2" spans="1:22" s="6" customFormat="1" ht="35" customHeight="1" x14ac:dyDescent="0.2">
      <c r="A2" s="103" t="s">
        <v>98</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c r="R2" s="16"/>
    </row>
    <row r="3" spans="1:22" s="6" customFormat="1" ht="25" customHeight="1" x14ac:dyDescent="0.2">
      <c r="A3" s="61" t="s">
        <v>14</v>
      </c>
      <c r="B3" s="122">
        <f>IFERROR('1.IS'!B9*(1-'1.IS'!B17),"")</f>
        <v>2397.0569832402234</v>
      </c>
      <c r="C3" s="88">
        <f>IFERROR('1.IS'!C9*(1-'1.IS'!C17),"")</f>
        <v>2758.3615594735534</v>
      </c>
      <c r="D3" s="88">
        <f>IFERROR('1.IS'!D9*(1-'1.IS'!D17),"")</f>
        <v>3192.866242038217</v>
      </c>
      <c r="E3" s="88">
        <f>IFERROR('1.IS'!E9*(1-'1.IS'!E17),"")</f>
        <v>3670.5970719287079</v>
      </c>
      <c r="F3" s="88">
        <f>IFERROR('1.IS'!F9*(1-'1.IS'!F17),"")</f>
        <v>4109.6868008948541</v>
      </c>
      <c r="G3" s="88">
        <f>IFERROR('1.IS'!G9*(1-'1.IS'!G17),"")</f>
        <v>5159.7586310417291</v>
      </c>
      <c r="H3" s="88">
        <f>IFERROR('1.IS'!H9*(1-'1.IS'!H17),"")</f>
        <v>5962.1037880726899</v>
      </c>
      <c r="I3" s="88">
        <f>IFERROR('1.IS'!I9*(1-'1.IS'!I17),"")</f>
        <v>6387.1922858763473</v>
      </c>
      <c r="J3" s="88">
        <f>IFERROR('1.IS'!J9*(1-'1.IS'!J17),"")</f>
        <v>7001.5193284278157</v>
      </c>
      <c r="K3" s="88">
        <f>IFERROR('1.IS'!K9*(1-'1.IS'!K17),"")</f>
        <v>7744.0602916432972</v>
      </c>
      <c r="L3" s="110">
        <f>IFERROR('1.IS'!L9*(1-'1.IS'!L17),"")</f>
        <v>7468.5572798145276</v>
      </c>
      <c r="M3" s="86">
        <f>IFERROR('1.IS'!M9*(1-'1.IS'!M17),"")</f>
        <v>8204.9938677167229</v>
      </c>
      <c r="N3" s="86">
        <f>IFERROR('1.IS'!N9*(1-'1.IS'!N17),"")</f>
        <v>9014.0467358028873</v>
      </c>
      <c r="O3" s="86">
        <f>IFERROR('1.IS'!O9*(1-'1.IS'!O17),"")</f>
        <v>9902.8762074930964</v>
      </c>
      <c r="P3" s="118">
        <f>IFERROR('1.IS'!P9*(1-'1.IS'!P17),"")</f>
        <v>10879.348649416334</v>
      </c>
      <c r="Q3" s="86"/>
      <c r="R3" s="86"/>
      <c r="V3" s="11"/>
    </row>
    <row r="4" spans="1:22" s="6" customFormat="1" ht="25" customHeight="1" x14ac:dyDescent="0.2">
      <c r="A4" s="104" t="s">
        <v>117</v>
      </c>
      <c r="B4" s="108">
        <v>3379</v>
      </c>
      <c r="C4" s="85">
        <v>4546</v>
      </c>
      <c r="D4" s="85">
        <v>6055</v>
      </c>
      <c r="E4" s="85">
        <v>8384</v>
      </c>
      <c r="F4" s="85">
        <v>12277</v>
      </c>
      <c r="G4" s="85">
        <v>11258</v>
      </c>
      <c r="H4" s="85">
        <v>10203</v>
      </c>
      <c r="I4" s="85">
        <v>13700</v>
      </c>
      <c r="J4" s="85">
        <v>9906</v>
      </c>
      <c r="K4" s="85">
        <v>14161</v>
      </c>
      <c r="L4" s="110">
        <f>IFERROR(TIKR_Cálculos!C32,0)</f>
        <v>7885.3711250236101</v>
      </c>
      <c r="M4" s="86">
        <f>IFERROR(TIKR_Cálculos!D32,0)</f>
        <v>8662.907614078842</v>
      </c>
      <c r="N4" s="86">
        <f>IFERROR(TIKR_Cálculos!E32,0)</f>
        <v>9517.1130363049942</v>
      </c>
      <c r="O4" s="86">
        <f>IFERROR(TIKR_Cálculos!F32,0)</f>
        <v>10455.547326697155</v>
      </c>
      <c r="P4" s="118">
        <f>IFERROR(TIKR_Cálculos!G32,0)</f>
        <v>11486.51586713178</v>
      </c>
      <c r="Q4" s="86"/>
      <c r="R4" s="86"/>
      <c r="V4" s="11"/>
    </row>
    <row r="5" spans="1:22" s="6" customFormat="1" ht="25" customHeight="1" x14ac:dyDescent="0.2">
      <c r="A5" s="104" t="s">
        <v>15</v>
      </c>
      <c r="B5" s="108">
        <v>1350</v>
      </c>
      <c r="C5" s="85">
        <v>1233</v>
      </c>
      <c r="D5" s="85">
        <v>1204</v>
      </c>
      <c r="E5" s="85">
        <v>1060</v>
      </c>
      <c r="F5" s="85">
        <v>1028</v>
      </c>
      <c r="G5" s="85">
        <v>917</v>
      </c>
      <c r="H5" s="85">
        <v>846</v>
      </c>
      <c r="I5" s="85">
        <v>1534</v>
      </c>
      <c r="J5" s="85">
        <v>1238</v>
      </c>
      <c r="K5" s="85">
        <v>1123</v>
      </c>
      <c r="L5" s="110">
        <f>IFERROR(TIKR_Cálculos!C33,0)</f>
        <v>625.32813878974036</v>
      </c>
      <c r="M5" s="86">
        <f>IFERROR(TIKR_Cálculos!D33,0)</f>
        <v>686.98857782716891</v>
      </c>
      <c r="N5" s="86">
        <f>IFERROR(TIKR_Cálculos!E33,0)</f>
        <v>754.72904030580526</v>
      </c>
      <c r="O5" s="86">
        <f>IFERROR(TIKR_Cálculos!F33,0)</f>
        <v>829.14904652785151</v>
      </c>
      <c r="P5" s="118">
        <f>IFERROR(TIKR_Cálculos!G33,0)</f>
        <v>910.90723245455763</v>
      </c>
      <c r="Q5" s="86"/>
      <c r="R5" s="86"/>
      <c r="V5" s="11"/>
    </row>
    <row r="6" spans="1:22" s="6" customFormat="1" ht="24.75" customHeight="1" x14ac:dyDescent="0.2">
      <c r="A6" s="104" t="s">
        <v>61</v>
      </c>
      <c r="B6" s="108">
        <v>1100</v>
      </c>
      <c r="C6" s="85">
        <v>86</v>
      </c>
      <c r="D6" s="85">
        <v>90</v>
      </c>
      <c r="E6" s="85">
        <v>1699</v>
      </c>
      <c r="F6" s="85">
        <v>95</v>
      </c>
      <c r="G6" s="85">
        <v>799</v>
      </c>
      <c r="H6" s="85">
        <v>73</v>
      </c>
      <c r="I6" s="85">
        <v>1081</v>
      </c>
      <c r="J6" s="85">
        <v>103</v>
      </c>
      <c r="K6" s="85">
        <v>75</v>
      </c>
      <c r="L6" s="110">
        <f>IFERROR(TIKR_Cálculos!C35,0)</f>
        <v>41.762787541612227</v>
      </c>
      <c r="M6" s="86">
        <f>IFERROR(TIKR_Cálculos!D35,0)</f>
        <v>45.880804396293577</v>
      </c>
      <c r="N6" s="86">
        <f>IFERROR(TIKR_Cálculos!E35,0)</f>
        <v>50.404878025766173</v>
      </c>
      <c r="O6" s="86">
        <f>IFERROR(TIKR_Cálculos!F35,0)</f>
        <v>55.375047630978521</v>
      </c>
      <c r="P6" s="118">
        <f>IFERROR(TIKR_Cálculos!G35,0)</f>
        <v>60.835300475593804</v>
      </c>
      <c r="Q6" s="86"/>
      <c r="R6" s="86"/>
      <c r="V6" s="11"/>
    </row>
    <row r="7" spans="1:22" s="6" customFormat="1" ht="25" customHeight="1" x14ac:dyDescent="0.2">
      <c r="A7" s="104" t="s">
        <v>62</v>
      </c>
      <c r="B7" s="108">
        <v>4061</v>
      </c>
      <c r="C7" s="85">
        <v>6573</v>
      </c>
      <c r="D7" s="85">
        <v>6487</v>
      </c>
      <c r="E7" s="85">
        <v>5124</v>
      </c>
      <c r="F7" s="85">
        <v>7514</v>
      </c>
      <c r="G7" s="85">
        <v>6692</v>
      </c>
      <c r="H7" s="85">
        <v>6484</v>
      </c>
      <c r="I7" s="85">
        <v>5377</v>
      </c>
      <c r="J7" s="85">
        <v>5794</v>
      </c>
      <c r="K7" s="85">
        <v>5713</v>
      </c>
      <c r="L7" s="110">
        <f>IFERROR(TIKR_Cálculos!C36,0)</f>
        <v>3181.2107363364084</v>
      </c>
      <c r="M7" s="86">
        <f>IFERROR(TIKR_Cálculos!D36,0)</f>
        <v>3494.8938068803359</v>
      </c>
      <c r="N7" s="86">
        <f>IFERROR(TIKR_Cálculos!E36,0)</f>
        <v>3839.5075754826948</v>
      </c>
      <c r="O7" s="86">
        <f>IFERROR(TIKR_Cálculos!F36,0)</f>
        <v>4218.1019615437363</v>
      </c>
      <c r="P7" s="118">
        <f>IFERROR(TIKR_Cálculos!G36,0)</f>
        <v>4634.0276215608983</v>
      </c>
      <c r="Q7" s="86"/>
      <c r="R7" s="86"/>
      <c r="S7" s="86"/>
      <c r="T7" s="86"/>
      <c r="U7" s="86"/>
      <c r="V7" s="11"/>
    </row>
    <row r="8" spans="1:22" s="6" customFormat="1" ht="25" customHeight="1" x14ac:dyDescent="0.2">
      <c r="A8" s="104" t="s">
        <v>126</v>
      </c>
      <c r="B8" s="108">
        <v>0</v>
      </c>
      <c r="C8" s="85">
        <v>0</v>
      </c>
      <c r="D8" s="85">
        <v>0</v>
      </c>
      <c r="E8" s="85">
        <v>51</v>
      </c>
      <c r="F8" s="85">
        <v>262</v>
      </c>
      <c r="G8" s="85">
        <v>294</v>
      </c>
      <c r="H8" s="85">
        <v>484</v>
      </c>
      <c r="I8" s="85">
        <v>349</v>
      </c>
      <c r="J8" s="85">
        <v>326</v>
      </c>
      <c r="K8" s="85">
        <v>286</v>
      </c>
      <c r="L8" s="110">
        <f>IFERROR(K8*'1.IS'!L4+K8,"")</f>
        <v>314.20101075066788</v>
      </c>
      <c r="M8" s="86">
        <f>IFERROR(L8*'1.IS'!M4+L8,"")</f>
        <v>345.18278026832621</v>
      </c>
      <c r="N8" s="86">
        <f>IFERROR(M8*'1.IS'!N4+M8,"")</f>
        <v>379.21950508403421</v>
      </c>
      <c r="O8" s="86">
        <f>IFERROR(N8*'1.IS'!O4+N8,"")</f>
        <v>416.61241885934118</v>
      </c>
      <c r="P8" s="118">
        <f>IFERROR(O8*'1.IS'!P4+O8,"")</f>
        <v>457.69245838071885</v>
      </c>
      <c r="Q8" s="86"/>
      <c r="R8" s="86"/>
      <c r="S8" s="86"/>
      <c r="T8" s="86"/>
      <c r="U8" s="86"/>
      <c r="V8" s="11"/>
    </row>
    <row r="9" spans="1:22" s="6" customFormat="1" ht="25" customHeight="1" x14ac:dyDescent="0.2">
      <c r="A9" s="104" t="s">
        <v>127</v>
      </c>
      <c r="B9" s="108">
        <v>0</v>
      </c>
      <c r="C9" s="85">
        <v>0</v>
      </c>
      <c r="D9" s="85">
        <v>0</v>
      </c>
      <c r="E9" s="85">
        <v>370</v>
      </c>
      <c r="F9" s="85">
        <v>3215</v>
      </c>
      <c r="G9" s="85">
        <v>3622</v>
      </c>
      <c r="H9" s="85">
        <v>3865</v>
      </c>
      <c r="I9" s="85">
        <v>3729</v>
      </c>
      <c r="J9" s="85">
        <v>3726</v>
      </c>
      <c r="K9" s="85">
        <v>3861</v>
      </c>
      <c r="L9" s="110">
        <f>IFERROR(K9*'1.IS'!L4+K9,"")</f>
        <v>4241.7136451340157</v>
      </c>
      <c r="M9" s="86">
        <f>IFERROR(L9*'1.IS'!M4+L9,"")</f>
        <v>4659.9675336224036</v>
      </c>
      <c r="N9" s="86">
        <f>IFERROR(M9*'1.IS'!N4+M9,"")</f>
        <v>5119.4633186344618</v>
      </c>
      <c r="O9" s="86">
        <f>IFERROR(N9*'1.IS'!O4+N9,"")</f>
        <v>5624.2676546011062</v>
      </c>
      <c r="P9" s="118">
        <f>IFERROR(O9*'1.IS'!P4+O9,"")</f>
        <v>6178.8481881397047</v>
      </c>
      <c r="Q9" s="86"/>
      <c r="R9" s="86"/>
      <c r="S9" s="86"/>
      <c r="T9" s="86"/>
      <c r="U9" s="86"/>
      <c r="V9" s="11"/>
    </row>
    <row r="10" spans="1:22" s="6" customFormat="1" ht="25" customHeight="1" x14ac:dyDescent="0.2">
      <c r="A10" s="104" t="s">
        <v>12</v>
      </c>
      <c r="B10" s="108">
        <v>12332</v>
      </c>
      <c r="C10" s="85">
        <v>11079</v>
      </c>
      <c r="D10" s="85">
        <v>13103</v>
      </c>
      <c r="E10" s="85">
        <v>15584</v>
      </c>
      <c r="F10" s="85">
        <v>18705</v>
      </c>
      <c r="G10" s="85">
        <v>18078</v>
      </c>
      <c r="H10" s="85">
        <v>20647</v>
      </c>
      <c r="I10" s="85">
        <v>25058</v>
      </c>
      <c r="J10" s="85">
        <v>23622</v>
      </c>
      <c r="K10" s="85">
        <v>29164</v>
      </c>
      <c r="L10" s="110">
        <f>IFERROR(K10+'1.IS'!L20+'1.IS'!L26*'4.Valoración'!L3-AVERAGE('2.FCF'!$J$30:$K$30)*'2.FCF'!L14,"")</f>
        <v>37044.668626585015</v>
      </c>
      <c r="M10" s="86">
        <f>IFERROR(L10+'1.IS'!M20+'1.IS'!M26*'4.Valoración'!M3-AVERAGE('2.FCF'!$J$30:$K$30)*'2.FCF'!M14,"")</f>
        <v>45664.237046986629</v>
      </c>
      <c r="N10" s="86">
        <f>IFERROR(M10+'1.IS'!N20+'1.IS'!N26*'4.Valoración'!N3-AVERAGE('2.FCF'!$J$30:$K$30)*'2.FCF'!N14,"")</f>
        <v>55095.53049543564</v>
      </c>
      <c r="O10" s="86">
        <f>IFERROR(N10+'1.IS'!O20+'1.IS'!O26*'4.Valoración'!O3-AVERAGE('2.FCF'!$J$30:$K$30)*'2.FCF'!O14,"")</f>
        <v>65418.555103323641</v>
      </c>
      <c r="P10" s="118">
        <f>IFERROR(O10+'1.IS'!P20+'1.IS'!P26*'4.Valoración'!P3-AVERAGE('2.FCF'!$J$30:$K$30)*'2.FCF'!P14,"")</f>
        <v>76721.205971057483</v>
      </c>
      <c r="Q10" s="86"/>
      <c r="R10" s="86"/>
      <c r="S10" s="86"/>
      <c r="T10" s="86"/>
      <c r="U10" s="86"/>
      <c r="V10" s="11"/>
    </row>
    <row r="11" spans="1:22" s="6" customFormat="1" ht="25" customHeight="1" x14ac:dyDescent="0.2">
      <c r="A11" s="135" t="s">
        <v>104</v>
      </c>
      <c r="B11" s="141">
        <f t="shared" ref="B11" si="0">B10+B6+B7+B8+B9-B5</f>
        <v>16143</v>
      </c>
      <c r="C11" s="136">
        <f t="shared" ref="C11:K11" si="1">C10+C6+C7+C8+C9-C5</f>
        <v>16505</v>
      </c>
      <c r="D11" s="136">
        <f t="shared" si="1"/>
        <v>18476</v>
      </c>
      <c r="E11" s="136">
        <f t="shared" si="1"/>
        <v>21768</v>
      </c>
      <c r="F11" s="136">
        <f t="shared" si="1"/>
        <v>28763</v>
      </c>
      <c r="G11" s="136">
        <f t="shared" si="1"/>
        <v>28568</v>
      </c>
      <c r="H11" s="136">
        <f t="shared" si="1"/>
        <v>30707</v>
      </c>
      <c r="I11" s="136">
        <f t="shared" si="1"/>
        <v>34060</v>
      </c>
      <c r="J11" s="136">
        <f t="shared" si="1"/>
        <v>32333</v>
      </c>
      <c r="K11" s="136">
        <f t="shared" si="1"/>
        <v>37976</v>
      </c>
      <c r="L11" s="140">
        <f>IFERROR(L10+L6+L7+L8+L9-L5,"")</f>
        <v>44198.228667557989</v>
      </c>
      <c r="M11" s="137">
        <f>IFERROR(M10+M6+M7+M8+M9-M5,"")</f>
        <v>53523.173394326812</v>
      </c>
      <c r="N11" s="137">
        <f>IFERROR(N10+N6+N7+N8+N9-N5,"")</f>
        <v>63729.396732356785</v>
      </c>
      <c r="O11" s="137">
        <f>IFERROR(O10+O6+O7+O8+O9-O5,"")</f>
        <v>74903.763139430957</v>
      </c>
      <c r="P11" s="138">
        <f>IFERROR(P10+P6+P7+P8+P9-P5,"")</f>
        <v>87141.702307159838</v>
      </c>
      <c r="Q11" s="86"/>
      <c r="R11" s="86"/>
      <c r="S11" s="86"/>
      <c r="T11" s="86"/>
      <c r="U11" s="86"/>
      <c r="V11" s="11"/>
    </row>
    <row r="12" spans="1:22" ht="30" customHeight="1" x14ac:dyDescent="0.2">
      <c r="A12" s="4"/>
      <c r="V12" s="21"/>
    </row>
    <row r="13" spans="1:22" s="144" customFormat="1" ht="35" customHeight="1" x14ac:dyDescent="0.2">
      <c r="A13" s="58" t="s">
        <v>71</v>
      </c>
      <c r="B13" s="59">
        <f>'1.IS'!B$2</f>
        <v>2016</v>
      </c>
      <c r="C13" s="59">
        <f>'1.IS'!C$2</f>
        <v>2017</v>
      </c>
      <c r="D13" s="59">
        <f>'1.IS'!D$2</f>
        <v>2018</v>
      </c>
      <c r="E13" s="59">
        <f>'1.IS'!E$2</f>
        <v>2019</v>
      </c>
      <c r="F13" s="59">
        <f>'1.IS'!F$2</f>
        <v>2020</v>
      </c>
      <c r="G13" s="59">
        <f>'1.IS'!G$2</f>
        <v>2021</v>
      </c>
      <c r="H13" s="59">
        <f>'1.IS'!H$2</f>
        <v>2022</v>
      </c>
      <c r="I13" s="59">
        <f>'1.IS'!I$2</f>
        <v>2023</v>
      </c>
      <c r="J13" s="59">
        <f>'1.IS'!J$2</f>
        <v>2024</v>
      </c>
      <c r="K13" s="59">
        <f>'1.IS'!K$2</f>
        <v>2025</v>
      </c>
      <c r="L13" s="60" t="str">
        <f>'1.IS'!L$2</f>
        <v>2026e</v>
      </c>
      <c r="M13" s="60" t="str">
        <f>'1.IS'!M$2</f>
        <v>2027e</v>
      </c>
      <c r="N13" s="60" t="str">
        <f>'1.IS'!N$2</f>
        <v>2028e</v>
      </c>
      <c r="O13" s="60" t="str">
        <f>'1.IS'!O$2</f>
        <v>2029e</v>
      </c>
      <c r="P13" s="60" t="str">
        <f>'1.IS'!P$2</f>
        <v>2030e</v>
      </c>
      <c r="Q13" s="63" t="str">
        <f>"Promedio "&amp;CHAR(10)&amp;B$2&amp;" - "&amp;K$2</f>
        <v>Promedio 
2016 - 2025</v>
      </c>
    </row>
    <row r="14" spans="1:22" s="12" customFormat="1" ht="25" customHeight="1" x14ac:dyDescent="0.2">
      <c r="A14" s="184" t="s">
        <v>44</v>
      </c>
      <c r="B14" s="124">
        <f>IFERROR('1.IS'!B20/B10,"")</f>
        <v>0.18739863769056114</v>
      </c>
      <c r="C14" s="22">
        <f>IFERROR('1.IS'!C20/C10,"")</f>
        <v>0.24072569726509613</v>
      </c>
      <c r="D14" s="22">
        <f>IFERROR('1.IS'!D20/D10,"")</f>
        <v>0.23567122033122187</v>
      </c>
      <c r="E14" s="22">
        <f>IFERROR('1.IS'!E20/E10,"")</f>
        <v>0.23145533880903491</v>
      </c>
      <c r="F14" s="22">
        <f>IFERROR('1.IS'!F20/F10,"")</f>
        <v>0.21379310344827587</v>
      </c>
      <c r="G14" s="22">
        <f>IFERROR('1.IS'!G20/G10,"")</f>
        <v>0.27597079322933954</v>
      </c>
      <c r="H14" s="62">
        <f>IFERROR('1.IS'!H20/H10,"")</f>
        <v>0.28178427858768829</v>
      </c>
      <c r="I14" s="62">
        <f>IFERROR('1.IS'!I20/I10,"")</f>
        <v>0.2641870859605715</v>
      </c>
      <c r="J14" s="62">
        <f>IFERROR('1.IS'!J20/J10,"")</f>
        <v>0.30801794936923205</v>
      </c>
      <c r="K14" s="62">
        <f>IFERROR('1.IS'!K20/K10,"")</f>
        <v>0.2735907282951584</v>
      </c>
      <c r="L14" s="195">
        <f>IFERROR('1.IS'!L20/L10,"")</f>
        <v>0.20218878072713864</v>
      </c>
      <c r="M14" s="196">
        <f>IFERROR('1.IS'!M20/M10,"")</f>
        <v>0.18019722819012768</v>
      </c>
      <c r="N14" s="196">
        <f>IFERROR('1.IS'!N20/N10,"")</f>
        <v>0.16407767288598088</v>
      </c>
      <c r="O14" s="196">
        <f>IFERROR('1.IS'!O20/O10,"")</f>
        <v>0.15181212308538505</v>
      </c>
      <c r="P14" s="197">
        <f>IFERROR('1.IS'!P20/P10,"")</f>
        <v>0.14221110971656212</v>
      </c>
      <c r="Q14" s="133">
        <f>IFERROR(AVERAGE(B14:K14),"")</f>
        <v>0.25125948329861797</v>
      </c>
      <c r="R14" s="165"/>
      <c r="S14" s="165"/>
      <c r="T14" s="165"/>
      <c r="U14" s="165"/>
    </row>
    <row r="15" spans="1:22" s="12" customFormat="1" ht="25" customHeight="1" x14ac:dyDescent="0.2">
      <c r="A15" s="73" t="s">
        <v>105</v>
      </c>
      <c r="B15" s="124">
        <f t="shared" ref="B15:P15" si="2">IFERROR(B3/B11,"")</f>
        <v>0.14848894153752235</v>
      </c>
      <c r="C15" s="22">
        <f t="shared" si="2"/>
        <v>0.16712278457882784</v>
      </c>
      <c r="D15" s="22">
        <f t="shared" si="2"/>
        <v>0.17281155239436116</v>
      </c>
      <c r="E15" s="22">
        <f t="shared" si="2"/>
        <v>0.16862353325655585</v>
      </c>
      <c r="F15" s="22">
        <f t="shared" si="2"/>
        <v>0.14288102078694342</v>
      </c>
      <c r="G15" s="22">
        <f t="shared" si="2"/>
        <v>0.18061322567354135</v>
      </c>
      <c r="H15" s="62">
        <f t="shared" si="2"/>
        <v>0.19416106386402743</v>
      </c>
      <c r="I15" s="62">
        <f t="shared" ref="I15:K15" si="3">IFERROR(I3/I11,"")</f>
        <v>0.1875276654690648</v>
      </c>
      <c r="J15" s="62">
        <f t="shared" si="3"/>
        <v>0.21654406731289444</v>
      </c>
      <c r="K15" s="62">
        <f t="shared" si="3"/>
        <v>0.20391985179174471</v>
      </c>
      <c r="L15" s="106">
        <f t="shared" si="2"/>
        <v>0.16897865604502235</v>
      </c>
      <c r="M15" s="22">
        <f t="shared" si="2"/>
        <v>0.15329797071760343</v>
      </c>
      <c r="N15" s="22">
        <f t="shared" si="2"/>
        <v>0.14144252414092384</v>
      </c>
      <c r="O15" s="22">
        <f t="shared" si="2"/>
        <v>0.13220799319600551</v>
      </c>
      <c r="P15" s="130">
        <f t="shared" si="2"/>
        <v>0.12484663899574121</v>
      </c>
      <c r="Q15" s="133">
        <f>IFERROR(AVERAGE(B15:K15),"")</f>
        <v>0.1782693706665483</v>
      </c>
      <c r="R15" s="165"/>
      <c r="S15" s="165"/>
      <c r="T15" s="165"/>
      <c r="U15" s="165"/>
    </row>
    <row r="16" spans="1:22" s="12" customFormat="1" ht="25" customHeight="1" x14ac:dyDescent="0.2">
      <c r="A16" s="166" t="s">
        <v>128</v>
      </c>
      <c r="B16" s="142">
        <f>IF('2.FCF'!B14&gt;0,IFERROR(TIKR_Cálculos!B12/'2.FCF'!B14,""),0%)</f>
        <v>0</v>
      </c>
      <c r="C16" s="139">
        <f>IF('2.FCF'!C14&gt;0,IFERROR(TIKR_Cálculos!C12/'2.FCF'!C14,""),0%)</f>
        <v>0</v>
      </c>
      <c r="D16" s="139">
        <f>IF('2.FCF'!D14&gt;0,IFERROR(TIKR_Cálculos!D12/'2.FCF'!D14,""),0%)</f>
        <v>0</v>
      </c>
      <c r="E16" s="139">
        <f>IF('2.FCF'!E14&gt;0,IFERROR(TIKR_Cálculos!E12/'2.FCF'!E14,""),0%)</f>
        <v>0</v>
      </c>
      <c r="F16" s="139">
        <f>IF('2.FCF'!F14&gt;0,IFERROR(TIKR_Cálculos!F12/'2.FCF'!F14,""),0%)</f>
        <v>0.39290540540540542</v>
      </c>
      <c r="G16" s="139">
        <f>IF('2.FCF'!G14&gt;0,IFERROR(TIKR_Cálculos!G12/'2.FCF'!G14,""),0%)</f>
        <v>0</v>
      </c>
      <c r="H16" s="139">
        <f>IF('2.FCF'!H14&gt;0,IFERROR(TIKR_Cálculos!H12/'2.FCF'!H14,""),0%)</f>
        <v>0</v>
      </c>
      <c r="I16" s="139">
        <f>IF('2.FCF'!I14&gt;0,IFERROR(TIKR_Cálculos!I12/'2.FCF'!I14,""),0%)</f>
        <v>0</v>
      </c>
      <c r="J16" s="139">
        <f>IF('2.FCF'!J14&gt;0,IFERROR(TIKR_Cálculos!J12/'2.FCF'!J14,""),0%)</f>
        <v>0</v>
      </c>
      <c r="K16" s="139">
        <f>IF('2.FCF'!K14&gt;0,IFERROR(TIKR_Cálculos!K12/'2.FCF'!K14,""),0%)</f>
        <v>0</v>
      </c>
      <c r="L16" s="120" t="s">
        <v>196</v>
      </c>
      <c r="M16" s="139" t="s">
        <v>196</v>
      </c>
      <c r="N16" s="139" t="s">
        <v>196</v>
      </c>
      <c r="O16" s="139" t="s">
        <v>196</v>
      </c>
      <c r="P16" s="198" t="s">
        <v>196</v>
      </c>
      <c r="Q16" s="143">
        <f>IFERROR(AVERAGE(B16:K16),"")</f>
        <v>3.9290540540540542E-2</v>
      </c>
      <c r="R16" s="165"/>
      <c r="S16" s="165"/>
      <c r="T16" s="165"/>
      <c r="U16" s="165"/>
    </row>
    <row r="17" spans="1:16" ht="37.5" customHeight="1" x14ac:dyDescent="0.2">
      <c r="A17" s="4"/>
      <c r="B17" s="168"/>
      <c r="C17" s="168"/>
      <c r="D17" s="168"/>
      <c r="E17" s="168"/>
      <c r="F17" s="169"/>
      <c r="G17" s="169"/>
      <c r="H17" s="168"/>
      <c r="I17" s="168"/>
      <c r="J17" s="168"/>
      <c r="K17" s="168"/>
    </row>
    <row r="18" spans="1:16" x14ac:dyDescent="0.2">
      <c r="K18" s="167"/>
      <c r="L18" s="167"/>
      <c r="P18" s="167"/>
    </row>
    <row r="19" spans="1:16" x14ac:dyDescent="0.2">
      <c r="L19" s="167"/>
      <c r="M19" s="167"/>
      <c r="N19" s="167"/>
      <c r="O19" s="167"/>
      <c r="P19" s="167"/>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
  <sheetViews>
    <sheetView showGridLines="0" zoomScale="85" zoomScaleNormal="85" workbookViewId="0">
      <selection activeCell="I45" sqref="I45"/>
    </sheetView>
  </sheetViews>
  <sheetFormatPr baseColWidth="10" defaultColWidth="0" defaultRowHeight="15" zeroHeight="1" x14ac:dyDescent="0.2"/>
  <cols>
    <col min="1" max="1" width="46.5" style="19" customWidth="1"/>
    <col min="2" max="16" width="12.33203125" style="3" customWidth="1"/>
    <col min="17" max="17" width="38" customWidth="1"/>
    <col min="18" max="25" width="0" hidden="1" customWidth="1"/>
    <col min="26" max="16384" width="9.1640625" hidden="1"/>
  </cols>
  <sheetData>
    <row r="1" spans="1:17" ht="50" customHeight="1" x14ac:dyDescent="0.2">
      <c r="A1" s="248" t="str">
        <f>IF('1.IS'!A1&lt;&gt;"",'1.IS'!A1,"")</f>
        <v/>
      </c>
      <c r="B1" s="17" t="s">
        <v>79</v>
      </c>
      <c r="O1" s="313" t="e" vm="1">
        <v>#VALUE!</v>
      </c>
      <c r="P1" s="313"/>
    </row>
    <row r="2" spans="1:17" s="6" customFormat="1" ht="35" customHeight="1" x14ac:dyDescent="0.2">
      <c r="A2" s="103" t="s">
        <v>123</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row>
    <row r="3" spans="1:17" s="6" customFormat="1" ht="25" customHeight="1" x14ac:dyDescent="0.2">
      <c r="A3" s="61" t="s">
        <v>10</v>
      </c>
      <c r="B3" s="199"/>
      <c r="C3" s="200"/>
      <c r="D3" s="200"/>
      <c r="E3" s="200"/>
      <c r="F3" s="200"/>
      <c r="G3" s="200"/>
      <c r="H3" s="201"/>
      <c r="I3" s="202"/>
      <c r="J3" s="202"/>
      <c r="K3" s="202">
        <f>$D$12*'1.IS'!K25</f>
        <v>439111.00800000003</v>
      </c>
      <c r="L3" s="203">
        <f>IFERROR($D$12*'1.IS'!L25,"")</f>
        <v>439501.3133203169</v>
      </c>
      <c r="M3" s="204">
        <f>IFERROR($D$12*'1.IS'!M25,"")</f>
        <v>439891.96556485182</v>
      </c>
      <c r="N3" s="204">
        <f>IFERROR($D$12*'1.IS'!N25,"")</f>
        <v>440282.9650419695</v>
      </c>
      <c r="O3" s="204">
        <f>IFERROR($D$12*'1.IS'!O25,"")</f>
        <v>440674.31206030882</v>
      </c>
      <c r="P3" s="205">
        <f>IFERROR($D$12*'1.IS'!P25,"")</f>
        <v>441066.00692878297</v>
      </c>
    </row>
    <row r="4" spans="1:17" s="6" customFormat="1" ht="25" customHeight="1" thickBot="1" x14ac:dyDescent="0.25">
      <c r="A4" s="61" t="s">
        <v>129</v>
      </c>
      <c r="B4" s="122">
        <f>('3.ROIC'!B7+'3.ROIC'!B6)-('3.ROIC'!B4+'3.ROIC'!B5)</f>
        <v>432</v>
      </c>
      <c r="C4" s="88">
        <f>('3.ROIC'!C7+'3.ROIC'!C6)-('3.ROIC'!C4+'3.ROIC'!C5)</f>
        <v>880</v>
      </c>
      <c r="D4" s="88">
        <f>('3.ROIC'!D7+'3.ROIC'!D6)-('3.ROIC'!D4+'3.ROIC'!D5)</f>
        <v>-682</v>
      </c>
      <c r="E4" s="88">
        <f>('3.ROIC'!E7+'3.ROIC'!E6)-('3.ROIC'!E4+'3.ROIC'!E5)</f>
        <v>-2621</v>
      </c>
      <c r="F4" s="88">
        <f>('3.ROIC'!F7+'3.ROIC'!F6)-('3.ROIC'!F4+'3.ROIC'!F5)</f>
        <v>-5696</v>
      </c>
      <c r="G4" s="88">
        <f>('3.ROIC'!G7+'3.ROIC'!G6)-('3.ROIC'!G4+'3.ROIC'!G5)</f>
        <v>-4684</v>
      </c>
      <c r="H4" s="88">
        <f>('3.ROIC'!H7+'3.ROIC'!H6)-('3.ROIC'!H4+'3.ROIC'!H5)</f>
        <v>-4492</v>
      </c>
      <c r="I4" s="88">
        <f>('3.ROIC'!I7+'3.ROIC'!I6)-('3.ROIC'!I4+'3.ROIC'!I5)</f>
        <v>-8776</v>
      </c>
      <c r="J4" s="88">
        <f>('3.ROIC'!J7+'3.ROIC'!J6)-('3.ROIC'!J4+'3.ROIC'!J5)</f>
        <v>-5247</v>
      </c>
      <c r="K4" s="86">
        <f>('3.ROIC'!K7+'3.ROIC'!K6)-('3.ROIC'!K4+'3.ROIC'!K5)</f>
        <v>-9496</v>
      </c>
      <c r="L4" s="110">
        <f>IFERROR(L5*'1.IS'!L5,"")</f>
        <v>-5287.7257399353293</v>
      </c>
      <c r="M4" s="86">
        <f>IFERROR(M5*'1.IS'!M5,"")</f>
        <v>-5809.1215806293831</v>
      </c>
      <c r="N4" s="86">
        <f>IFERROR(N5*'1.IS'!N5,"")</f>
        <v>-6381.92962310234</v>
      </c>
      <c r="O4" s="86">
        <f>IFERROR(O5*'1.IS'!O5,"")</f>
        <v>-7011.2193640502928</v>
      </c>
      <c r="P4" s="118">
        <f>IFERROR(P5*'1.IS'!P5,"")</f>
        <v>-7702.560177549849</v>
      </c>
    </row>
    <row r="5" spans="1:17" s="6" customFormat="1" ht="25" customHeight="1" thickTop="1" thickBot="1" x14ac:dyDescent="0.25">
      <c r="A5" s="18" t="s">
        <v>116</v>
      </c>
      <c r="B5" s="148">
        <f>IFERROR('4.Valoración'!B4/'1.IS'!B5,"")</f>
        <v>0.11764705882352941</v>
      </c>
      <c r="C5" s="98">
        <f>IFERROR('4.Valoración'!C4/'1.IS'!C5,"")</f>
        <v>0.21405983945512042</v>
      </c>
      <c r="D5" s="98">
        <f>IFERROR('4.Valoración'!D4/'1.IS'!D5,"")</f>
        <v>-0.15223214285714284</v>
      </c>
      <c r="E5" s="98">
        <f>IFERROR('4.Valoración'!E4/'1.IS'!E5,"")</f>
        <v>-0.55330377876293013</v>
      </c>
      <c r="F5" s="98">
        <f>IFERROR('4.Valoración'!F4/'1.IS'!F5,"")</f>
        <v>-1.0480220791168353</v>
      </c>
      <c r="G5" s="98">
        <f>IFERROR('4.Valoración'!G4/'1.IS'!G5,"")</f>
        <v>-0.68963486454652534</v>
      </c>
      <c r="H5" s="98">
        <f>IFERROR('4.Valoración'!H4/'1.IS'!H5,"")</f>
        <v>-0.56781696372140056</v>
      </c>
      <c r="I5" s="98">
        <f>IFERROR('4.Valoración'!I4/'1.IS'!I5,"")</f>
        <v>-1.0318636096413873</v>
      </c>
      <c r="J5" s="98">
        <f>IFERROR('4.Valoración'!J4/'1.IS'!J5,"")</f>
        <v>-0.56510500807754438</v>
      </c>
      <c r="K5" s="102">
        <f>IFERROR('4.Valoración'!K4/'1.IS'!K5,"")</f>
        <v>-0.91457189636906477</v>
      </c>
      <c r="L5" s="189">
        <f>AVERAGE(B5:K5)</f>
        <v>-0.51908434448141816</v>
      </c>
      <c r="M5" s="190">
        <f>L5</f>
        <v>-0.51908434448141816</v>
      </c>
      <c r="N5" s="190">
        <f t="shared" ref="N5:P5" si="0">M5</f>
        <v>-0.51908434448141816</v>
      </c>
      <c r="O5" s="190">
        <f t="shared" si="0"/>
        <v>-0.51908434448141816</v>
      </c>
      <c r="P5" s="191">
        <f t="shared" si="0"/>
        <v>-0.51908434448141816</v>
      </c>
      <c r="Q5" s="277" t="s">
        <v>158</v>
      </c>
    </row>
    <row r="6" spans="1:17" s="6" customFormat="1" ht="25" customHeight="1" thickTop="1" x14ac:dyDescent="0.2">
      <c r="A6" s="147" t="s">
        <v>23</v>
      </c>
      <c r="B6" s="141"/>
      <c r="C6" s="136"/>
      <c r="D6" s="136"/>
      <c r="E6" s="136"/>
      <c r="F6" s="136"/>
      <c r="G6" s="136"/>
      <c r="H6" s="136"/>
      <c r="I6" s="136"/>
      <c r="J6" s="136"/>
      <c r="K6" s="136">
        <f>K3+K4</f>
        <v>429615.00800000003</v>
      </c>
      <c r="L6" s="141">
        <f>IFERROR((L3+L4),"")</f>
        <v>434213.58758038154</v>
      </c>
      <c r="M6" s="136">
        <f>IFERROR((M3+M4),"")</f>
        <v>434082.84398422245</v>
      </c>
      <c r="N6" s="136">
        <f>IFERROR((N3+N4),"")</f>
        <v>433901.03541886713</v>
      </c>
      <c r="O6" s="136">
        <f>IFERROR((O3+O4),"")</f>
        <v>433663.09269625851</v>
      </c>
      <c r="P6" s="149">
        <f>IFERROR((P3+P4),"")</f>
        <v>433363.44675123313</v>
      </c>
    </row>
    <row r="7" spans="1:17" s="6" customFormat="1" ht="25" hidden="1" customHeight="1" x14ac:dyDescent="0.2">
      <c r="A7" s="18" t="s">
        <v>2</v>
      </c>
      <c r="B7" s="88">
        <f>'1.IS'!B5</f>
        <v>3672</v>
      </c>
      <c r="C7" s="88">
        <f>'1.IS'!C5</f>
        <v>4111</v>
      </c>
      <c r="D7" s="88">
        <f>'1.IS'!D5</f>
        <v>4480</v>
      </c>
      <c r="E7" s="88">
        <f>'1.IS'!E5</f>
        <v>4737</v>
      </c>
      <c r="F7" s="88">
        <f>'1.IS'!F5</f>
        <v>5435</v>
      </c>
      <c r="G7" s="88">
        <f>'1.IS'!G5</f>
        <v>6792</v>
      </c>
      <c r="H7" s="86">
        <f>'1.IS'!H5</f>
        <v>7911</v>
      </c>
      <c r="I7" s="86">
        <f>'1.IS'!I5</f>
        <v>8505</v>
      </c>
      <c r="J7" s="86">
        <f>'1.IS'!J5</f>
        <v>9285</v>
      </c>
      <c r="K7" s="86">
        <f>'1.IS'!K5</f>
        <v>10383</v>
      </c>
      <c r="L7" s="94">
        <f>'1.IS'!L5</f>
        <v>10186.640757231729</v>
      </c>
      <c r="M7" s="88">
        <f>'1.IS'!M5</f>
        <v>11191.093783483069</v>
      </c>
      <c r="N7" s="88">
        <f>'1.IS'!N5</f>
        <v>12294.590832782853</v>
      </c>
      <c r="O7" s="88">
        <f>'1.IS'!O5</f>
        <v>13506.898134357578</v>
      </c>
      <c r="P7" s="88">
        <f>'1.IS'!P5</f>
        <v>14838.744915809304</v>
      </c>
      <c r="Q7" s="24"/>
    </row>
    <row r="8" spans="1:17" s="6" customFormat="1" ht="25" hidden="1" customHeight="1" x14ac:dyDescent="0.2">
      <c r="A8" s="18" t="s">
        <v>4</v>
      </c>
      <c r="B8" s="88">
        <f>'1.IS'!B9</f>
        <v>3672</v>
      </c>
      <c r="C8" s="88">
        <f>'1.IS'!C9</f>
        <v>4111</v>
      </c>
      <c r="D8" s="88">
        <f>'1.IS'!D9</f>
        <v>4480</v>
      </c>
      <c r="E8" s="88">
        <f>'1.IS'!E9</f>
        <v>4737</v>
      </c>
      <c r="F8" s="88">
        <f>'1.IS'!F9</f>
        <v>5435</v>
      </c>
      <c r="G8" s="88">
        <f>'1.IS'!G9</f>
        <v>6792</v>
      </c>
      <c r="H8" s="86">
        <f>'1.IS'!H9</f>
        <v>7911</v>
      </c>
      <c r="I8" s="86">
        <f>'1.IS'!I9</f>
        <v>8505</v>
      </c>
      <c r="J8" s="86">
        <f>'1.IS'!J9</f>
        <v>9285</v>
      </c>
      <c r="K8" s="86">
        <f>'1.IS'!K9</f>
        <v>10383</v>
      </c>
      <c r="L8" s="94">
        <f>'1.IS'!L9</f>
        <v>10186.640757231729</v>
      </c>
      <c r="M8" s="88">
        <f>'1.IS'!M9</f>
        <v>11191.093783483069</v>
      </c>
      <c r="N8" s="88">
        <f>'1.IS'!N9</f>
        <v>12294.590832782853</v>
      </c>
      <c r="O8" s="88">
        <f>'1.IS'!O9</f>
        <v>13506.898134357578</v>
      </c>
      <c r="P8" s="88">
        <f>'1.IS'!P9</f>
        <v>14838.744915809304</v>
      </c>
      <c r="Q8" s="24"/>
    </row>
    <row r="9" spans="1:17" s="6" customFormat="1" ht="25" hidden="1" customHeight="1" x14ac:dyDescent="0.2">
      <c r="A9" s="18" t="s">
        <v>5</v>
      </c>
      <c r="B9" s="88">
        <f>'1.IS'!B20</f>
        <v>2311</v>
      </c>
      <c r="C9" s="88">
        <f>'1.IS'!C20</f>
        <v>2667</v>
      </c>
      <c r="D9" s="88">
        <f>'1.IS'!D20</f>
        <v>3088</v>
      </c>
      <c r="E9" s="88">
        <f>'1.IS'!E20</f>
        <v>3607</v>
      </c>
      <c r="F9" s="88">
        <f>'1.IS'!F20</f>
        <v>3999</v>
      </c>
      <c r="G9" s="88">
        <f>'1.IS'!G20</f>
        <v>4989</v>
      </c>
      <c r="H9" s="86">
        <f>'1.IS'!H20</f>
        <v>5818</v>
      </c>
      <c r="I9" s="86">
        <f>'1.IS'!I20</f>
        <v>6620</v>
      </c>
      <c r="J9" s="86">
        <f>'1.IS'!J20</f>
        <v>7276</v>
      </c>
      <c r="K9" s="86">
        <f>'1.IS'!K20</f>
        <v>7979</v>
      </c>
      <c r="L9" s="94">
        <f>'1.IS'!L20</f>
        <v>7490.0163820501093</v>
      </c>
      <c r="M9" s="88">
        <f>'1.IS'!M20</f>
        <v>8228.5689432839317</v>
      </c>
      <c r="N9" s="88">
        <f>'1.IS'!N20</f>
        <v>9039.9464301096723</v>
      </c>
      <c r="O9" s="88">
        <f>'1.IS'!O20</f>
        <v>9931.3297394138135</v>
      </c>
      <c r="P9" s="88">
        <f>'1.IS'!P20</f>
        <v>10910.607839937016</v>
      </c>
      <c r="Q9" s="24"/>
    </row>
    <row r="10" spans="1:17" s="6" customFormat="1" ht="25" hidden="1" customHeight="1" x14ac:dyDescent="0.2">
      <c r="A10" s="23" t="s">
        <v>6</v>
      </c>
      <c r="B10" s="95">
        <f>'2.FCF'!B14</f>
        <v>-338</v>
      </c>
      <c r="C10" s="95">
        <f>'2.FCF'!C14</f>
        <v>1252</v>
      </c>
      <c r="D10" s="95">
        <f>'2.FCF'!D14</f>
        <v>431</v>
      </c>
      <c r="E10" s="95">
        <f>'2.FCF'!E14</f>
        <v>917</v>
      </c>
      <c r="F10" s="95">
        <f>'2.FCF'!F14</f>
        <v>2960</v>
      </c>
      <c r="G10" s="95">
        <f>'2.FCF'!G14</f>
        <v>1472</v>
      </c>
      <c r="H10" s="95">
        <f>'2.FCF'!H14</f>
        <v>-501</v>
      </c>
      <c r="I10" s="95">
        <f>'2.FCF'!I14</f>
        <v>3307</v>
      </c>
      <c r="J10" s="95">
        <f>'2.FCF'!J14</f>
        <v>2236</v>
      </c>
      <c r="K10" s="95">
        <f>'2.FCF'!K14</f>
        <v>3245</v>
      </c>
      <c r="L10" s="96">
        <f>'2.FCF'!L14</f>
        <v>1884.4090506996383</v>
      </c>
      <c r="M10" s="95">
        <f>'2.FCF'!M14</f>
        <v>2070.2210783130513</v>
      </c>
      <c r="N10" s="95">
        <f>'2.FCF'!N14</f>
        <v>2274.3550884031415</v>
      </c>
      <c r="O10" s="95">
        <f>'2.FCF'!O14</f>
        <v>2498.6177188188512</v>
      </c>
      <c r="P10" s="95">
        <f>'2.FCF'!P14</f>
        <v>2744.9937508126259</v>
      </c>
      <c r="Q10" s="24"/>
    </row>
    <row r="11" spans="1:17" s="6" customFormat="1" ht="15" customHeight="1" thickBot="1" x14ac:dyDescent="0.25">
      <c r="A11" s="67"/>
      <c r="B11" s="90"/>
      <c r="C11" s="90"/>
      <c r="D11" s="90"/>
      <c r="E11" s="90"/>
      <c r="F11" s="90"/>
      <c r="G11" s="90"/>
      <c r="H11" s="90"/>
      <c r="I11" s="90"/>
      <c r="J11" s="90"/>
      <c r="K11" s="90"/>
      <c r="L11" s="90"/>
      <c r="M11" s="90"/>
      <c r="N11" s="90"/>
      <c r="O11" s="90"/>
      <c r="P11" s="90"/>
      <c r="Q11" s="24"/>
    </row>
    <row r="12" spans="1:17" s="6" customFormat="1" ht="25" customHeight="1" thickTop="1" thickBot="1" x14ac:dyDescent="0.25">
      <c r="A12" s="309" t="s">
        <v>19</v>
      </c>
      <c r="B12" s="310"/>
      <c r="C12" s="311"/>
      <c r="D12" s="185">
        <v>987.21</v>
      </c>
      <c r="E12" s="90"/>
      <c r="L12" s="268"/>
      <c r="N12" s="90"/>
      <c r="O12" s="90"/>
      <c r="P12" s="90"/>
      <c r="Q12" s="24"/>
    </row>
    <row r="13" spans="1:17" s="6" customFormat="1" ht="15" customHeight="1" thickTop="1" x14ac:dyDescent="0.2">
      <c r="A13" s="67"/>
      <c r="B13" s="26"/>
      <c r="C13" s="26"/>
      <c r="D13" s="90"/>
      <c r="E13" s="90"/>
      <c r="F13" s="90"/>
      <c r="G13" s="90"/>
      <c r="H13" s="90"/>
      <c r="I13" s="90"/>
      <c r="J13" s="90"/>
      <c r="K13" s="90"/>
      <c r="L13" s="90"/>
      <c r="M13" s="90"/>
      <c r="N13" s="26"/>
      <c r="O13" s="26"/>
      <c r="P13" s="26"/>
    </row>
    <row r="14" spans="1:17" s="6" customFormat="1" ht="35" customHeight="1" thickBot="1" x14ac:dyDescent="0.25">
      <c r="A14" s="146" t="s">
        <v>89</v>
      </c>
      <c r="B14" s="145" t="s">
        <v>72</v>
      </c>
      <c r="C14" s="145" t="s">
        <v>75</v>
      </c>
      <c r="D14" s="97" t="s">
        <v>73</v>
      </c>
      <c r="E14" s="69"/>
      <c r="G14" s="7"/>
      <c r="H14" s="7"/>
      <c r="I14" s="7"/>
      <c r="J14" s="7"/>
      <c r="K14" s="7"/>
      <c r="L14" s="7"/>
      <c r="M14" s="7"/>
      <c r="N14" s="7"/>
      <c r="O14" s="7"/>
      <c r="P14" s="7"/>
    </row>
    <row r="15" spans="1:17" s="6" customFormat="1" ht="25" customHeight="1" thickTop="1" x14ac:dyDescent="0.2">
      <c r="A15" s="151" t="s">
        <v>20</v>
      </c>
      <c r="B15" s="152">
        <f>IF(D12&lt;&gt;"",IFERROR(D12/'1.IS'!K23,""),"")</f>
        <v>55.033338513598203</v>
      </c>
      <c r="C15" s="152">
        <f>IF(D12&lt;&gt;"",IFERROR(D12/'1.IS'!L23,""),"")</f>
        <v>58.678284652832765</v>
      </c>
      <c r="D15" s="273">
        <f>C15</f>
        <v>58.678284652832765</v>
      </c>
      <c r="E15" s="70"/>
      <c r="G15" s="7"/>
      <c r="H15" s="7"/>
      <c r="I15" s="7"/>
      <c r="J15" s="7"/>
      <c r="K15" s="7"/>
      <c r="L15" s="7"/>
      <c r="M15" s="7"/>
      <c r="N15" s="7"/>
      <c r="O15" s="7"/>
      <c r="P15" s="7"/>
    </row>
    <row r="16" spans="1:17" s="6" customFormat="1" ht="25" customHeight="1" x14ac:dyDescent="0.2">
      <c r="A16" s="115" t="s">
        <v>99</v>
      </c>
      <c r="B16" s="247">
        <f>IF(D12&lt;&gt;"",IFERROR(K6/K10,""),"")</f>
        <v>132.39291463790448</v>
      </c>
      <c r="C16" s="247">
        <f>IF(D12&lt;&gt;"",IFERROR(L6/L10,""),"")</f>
        <v>230.4242740816639</v>
      </c>
      <c r="D16" s="271">
        <f>D15</f>
        <v>58.678284652832765</v>
      </c>
      <c r="E16" s="71"/>
      <c r="G16" s="314" t="s">
        <v>158</v>
      </c>
      <c r="H16" s="314"/>
      <c r="I16" s="314"/>
      <c r="J16" s="7"/>
      <c r="K16" s="7"/>
      <c r="L16" s="7"/>
      <c r="M16" s="7"/>
      <c r="N16" s="7"/>
      <c r="O16" s="7"/>
      <c r="P16" s="7"/>
    </row>
    <row r="17" spans="1:17" s="6" customFormat="1" ht="25" customHeight="1" x14ac:dyDescent="0.2">
      <c r="A17" s="61" t="s">
        <v>100</v>
      </c>
      <c r="B17" s="153">
        <f>IF(D12&lt;&gt;"",IFERROR(K6/K7,""),"")</f>
        <v>41.376770490224409</v>
      </c>
      <c r="C17" s="72">
        <f>IF(D12&lt;&gt;"",IFERROR(L6/L7,""),"")</f>
        <v>42.625787826288402</v>
      </c>
      <c r="D17" s="271">
        <f>C17</f>
        <v>42.625787826288402</v>
      </c>
      <c r="E17" s="70"/>
      <c r="G17" s="314"/>
      <c r="H17" s="314"/>
      <c r="I17" s="314"/>
      <c r="J17" s="7"/>
      <c r="K17" s="7"/>
      <c r="L17" s="7"/>
      <c r="M17" s="7"/>
      <c r="N17" s="7"/>
      <c r="O17" s="7"/>
      <c r="P17" s="7"/>
    </row>
    <row r="18" spans="1:17" s="6" customFormat="1" ht="25" customHeight="1" thickBot="1" x14ac:dyDescent="0.25">
      <c r="A18" s="23" t="s">
        <v>101</v>
      </c>
      <c r="B18" s="159">
        <f>IF(D12&lt;&gt;"",IFERROR(K6/K8,""),"")</f>
        <v>41.376770490224409</v>
      </c>
      <c r="C18" s="160">
        <f>IF(D12&lt;&gt;"",IFERROR(L6/L8,""),"")</f>
        <v>42.625787826288402</v>
      </c>
      <c r="D18" s="272">
        <f>C18</f>
        <v>42.625787826288402</v>
      </c>
      <c r="E18" s="70"/>
      <c r="G18" s="7"/>
      <c r="H18" s="7"/>
      <c r="I18" s="7"/>
      <c r="J18" s="7"/>
      <c r="K18" s="7"/>
      <c r="L18" s="7"/>
      <c r="M18" s="7"/>
      <c r="N18" s="7"/>
      <c r="O18" s="7"/>
      <c r="P18" s="7"/>
      <c r="Q18" s="24"/>
    </row>
    <row r="19" spans="1:17" s="6" customFormat="1" ht="19" thickTop="1" thickBot="1" x14ac:dyDescent="0.25">
      <c r="A19" s="67"/>
      <c r="B19" s="153"/>
      <c r="C19" s="72"/>
      <c r="D19" s="274"/>
      <c r="E19" s="70"/>
      <c r="G19" s="7"/>
      <c r="H19" s="7"/>
      <c r="I19" s="7"/>
      <c r="J19" s="7"/>
      <c r="K19" s="7"/>
      <c r="L19" s="7"/>
      <c r="M19" s="7"/>
      <c r="N19" s="7"/>
      <c r="O19" s="7"/>
      <c r="P19" s="7"/>
      <c r="Q19" s="24"/>
    </row>
    <row r="20" spans="1:17" s="6" customFormat="1" ht="35" customHeight="1" thickTop="1" x14ac:dyDescent="0.2">
      <c r="A20" s="146" t="s">
        <v>74</v>
      </c>
      <c r="B20" s="145" t="str">
        <f>L2</f>
        <v>2026e</v>
      </c>
      <c r="C20" s="145" t="str">
        <f>M2</f>
        <v>2027e</v>
      </c>
      <c r="D20" s="145" t="str">
        <f>N2</f>
        <v>2028e</v>
      </c>
      <c r="E20" s="145" t="str">
        <f>O2</f>
        <v>2029e</v>
      </c>
      <c r="F20" s="206" t="str">
        <f>P2</f>
        <v>2030e</v>
      </c>
      <c r="H20" s="312" t="str">
        <f>"Retorno Anualizado"&amp;CHAR(10)&amp;"valorando por..."</f>
        <v>Retorno Anualizado
valorando por...</v>
      </c>
      <c r="I20" s="312"/>
      <c r="J20" s="312"/>
      <c r="K20" s="145" t="str">
        <f>"CAGR"&amp;CHAR(10)&amp;"5 años"</f>
        <v>CAGR
5 años</v>
      </c>
      <c r="O20" s="7"/>
      <c r="P20" s="7"/>
    </row>
    <row r="21" spans="1:17" s="6" customFormat="1" ht="25" customHeight="1" thickBot="1" x14ac:dyDescent="0.25">
      <c r="A21" s="67" t="s">
        <v>63</v>
      </c>
      <c r="B21" s="14">
        <f>IF(D12&lt;&gt;"",IFERROR(IF(--L4&lt;0,(L9*$D$15-L4),IF(--L4&gt;0,L9*$D$15))/'1.IS'!L25,""),"")</f>
        <v>999.08731542435021</v>
      </c>
      <c r="C21" s="14">
        <f>IF(D12&lt;&gt;"",IFERROR(IF(--M4&lt;0,(M9*$D$15-M4),IF(--M4&gt;0,M9*$D$15))/'1.IS'!M25,""),"")</f>
        <v>1096.6275118057613</v>
      </c>
      <c r="D21" s="14">
        <f>IF(D12&lt;&gt;"",IFERROR(IF(--N4&lt;0,(N9*$D$15-N4),IF(--N4&gt;0,N9*$D$15))/'1.IS'!N25,""),"")</f>
        <v>1203.6904893928206</v>
      </c>
      <c r="E21" s="14">
        <f>IF(D12&lt;&gt;"",IFERROR(IF(--O4&lt;0,(O9*$D$15-O4),IF(--O4&gt;0,O9*$D$15))/'1.IS'!O25,""),"")</f>
        <v>1321.2059506595322</v>
      </c>
      <c r="F21" s="207">
        <f>IF(D12&lt;&gt;"",IFERROR(IF(--P4&lt;0,(P9*$D$15-P4),IF(--P4&gt;0,P9*$D$15))/'1.IS'!P25,""),"")</f>
        <v>1450.1943642827034</v>
      </c>
      <c r="H21" s="67" t="s">
        <v>63</v>
      </c>
      <c r="I21" s="67"/>
      <c r="J21" s="67"/>
      <c r="K21" s="150">
        <f>IFERROR((F21/$D$12)^(1/5)-1,"")</f>
        <v>7.994921577607994E-2</v>
      </c>
      <c r="O21" s="7"/>
      <c r="P21" s="7"/>
    </row>
    <row r="22" spans="1:17" s="6" customFormat="1" ht="25" customHeight="1" thickBot="1" x14ac:dyDescent="0.25">
      <c r="A22" s="154" t="s">
        <v>102</v>
      </c>
      <c r="B22" s="155">
        <f>IF(D12&lt;&gt;"",IFERROR(((L10*$D$16)-L4)/'1.IS'!L25,""),"")</f>
        <v>260.2489295905666</v>
      </c>
      <c r="C22" s="155">
        <f>IF(D12&lt;&gt;"",IFERROR(((M10*$D$16)-M4)/'1.IS'!M25,""),"")</f>
        <v>285.65685070858621</v>
      </c>
      <c r="D22" s="155">
        <f>IF(D12&lt;&gt;"",IFERROR(((N10*$D$16)-N4)/'1.IS'!N25,""),"")</f>
        <v>313.54532940874526</v>
      </c>
      <c r="E22" s="155">
        <f>IF(D12&lt;&gt;"",IFERROR(((O10*$D$16)-O4)/'1.IS'!O25,""),"")</f>
        <v>344.156540794222</v>
      </c>
      <c r="F22" s="208">
        <f>IF(D12&lt;&gt;"",IFERROR(((P10*$D$16)-P4)/'1.IS'!P25,""),"")</f>
        <v>377.75630335427167</v>
      </c>
      <c r="H22" s="154" t="s">
        <v>99</v>
      </c>
      <c r="I22" s="156"/>
      <c r="J22" s="156"/>
      <c r="K22" s="157">
        <f>IFERROR((F22/$D$12)^(1/5)-1,"")</f>
        <v>-0.17479769046729998</v>
      </c>
      <c r="O22" s="7"/>
      <c r="P22" s="7"/>
    </row>
    <row r="23" spans="1:17" s="6" customFormat="1" ht="25" customHeight="1" x14ac:dyDescent="0.2">
      <c r="A23" s="18" t="s">
        <v>100</v>
      </c>
      <c r="B23" s="14">
        <f>IF(D12&lt;&gt;"",IFERROR(((L7*$D$17)-L4)/'1.IS'!L25,""),"")</f>
        <v>987.21</v>
      </c>
      <c r="C23" s="14">
        <f>IF(D12&lt;&gt;"",IFERROR(((M7*$D$17)-M4)/'1.IS'!M25,""),"")</f>
        <v>1083.5906223771281</v>
      </c>
      <c r="D23" s="14">
        <f>IF(D12&lt;&gt;"",IFERROR(((N7*$D$17)-N4)/'1.IS'!N25,""),"")</f>
        <v>1189.3808175602476</v>
      </c>
      <c r="E23" s="14">
        <f>IF(D12&lt;&gt;"",IFERROR(((O7*$D$17)-O4)/'1.IS'!O25,""),"")</f>
        <v>1305.4992355664206</v>
      </c>
      <c r="F23" s="207">
        <f>IF(D12&lt;&gt;"",IFERROR(((P7*$D$17)-P4)/'1.IS'!P25,""),"")</f>
        <v>1432.9542135718668</v>
      </c>
      <c r="H23" s="18" t="s">
        <v>100</v>
      </c>
      <c r="I23" s="18"/>
      <c r="J23" s="18"/>
      <c r="K23" s="150">
        <f>IFERROR((F23/$D$12)^(1/5)-1,"")</f>
        <v>7.7369194727174628E-2</v>
      </c>
      <c r="O23" s="7"/>
      <c r="P23" s="7"/>
    </row>
    <row r="24" spans="1:17" s="6" customFormat="1" ht="25" customHeight="1" x14ac:dyDescent="0.2">
      <c r="A24" s="67" t="s">
        <v>101</v>
      </c>
      <c r="B24" s="68">
        <f>IF(D12&lt;&gt;"",IFERROR(((L8*$D$18)-L4)/'1.IS'!L25,""),"")</f>
        <v>987.21</v>
      </c>
      <c r="C24" s="68">
        <f>IF(D12&lt;&gt;"",IFERROR(((M8*$D$18)-M4)/'1.IS'!M25,""),"")</f>
        <v>1083.5906223771281</v>
      </c>
      <c r="D24" s="68">
        <f>IF(D12&lt;&gt;"",IFERROR(((N8*$D$18)-N4)/'1.IS'!N25,""),"")</f>
        <v>1189.3808175602476</v>
      </c>
      <c r="E24" s="68">
        <f>IF(D12&lt;&gt;"",IFERROR(((O8*$D$18)-O4)/'1.IS'!O25,""),"")</f>
        <v>1305.4992355664206</v>
      </c>
      <c r="F24" s="207">
        <f>IF(D12&lt;&gt;"",IFERROR(((P8*$D$18)-P4)/'1.IS'!P25,""),"")</f>
        <v>1432.9542135718668</v>
      </c>
      <c r="H24" s="67" t="s">
        <v>101</v>
      </c>
      <c r="I24" s="67"/>
      <c r="J24" s="67"/>
      <c r="K24" s="150">
        <f>IFERROR((F24/$D$12)^(1/5)-1,"")</f>
        <v>7.7369194727174628E-2</v>
      </c>
      <c r="O24" s="7"/>
      <c r="P24" s="7"/>
    </row>
    <row r="25" spans="1:17" s="6" customFormat="1" ht="25" customHeight="1" x14ac:dyDescent="0.2">
      <c r="A25" s="174" t="s">
        <v>58</v>
      </c>
      <c r="B25" s="175">
        <f>IFERROR(AVERAGE(B21:B24),"")</f>
        <v>808.43906125372928</v>
      </c>
      <c r="C25" s="175">
        <f>IFERROR(AVERAGE(C21:C24),"")</f>
        <v>887.36640181715097</v>
      </c>
      <c r="D25" s="175">
        <f>IFERROR(AVERAGE(D21:D24),"")</f>
        <v>973.99936348051529</v>
      </c>
      <c r="E25" s="175">
        <f>IFERROR(AVERAGE(E21:E24),"")</f>
        <v>1069.0902406466489</v>
      </c>
      <c r="F25" s="209">
        <f>IFERROR(AVERAGE(F21:F24),"")</f>
        <v>1173.4647736951772</v>
      </c>
      <c r="H25" s="161" t="s">
        <v>58</v>
      </c>
      <c r="I25" s="161"/>
      <c r="J25" s="161"/>
      <c r="K25" s="162">
        <f>IFERROR(AVERAGE(K21:K24),"")</f>
        <v>1.4972478690782304E-2</v>
      </c>
      <c r="O25" s="7"/>
      <c r="P25" s="7"/>
    </row>
    <row r="26" spans="1:17" s="6" customFormat="1" ht="25" customHeight="1" thickBot="1" x14ac:dyDescent="0.25">
      <c r="A26" s="161" t="s">
        <v>215</v>
      </c>
      <c r="B26" s="176">
        <f>IFERROR((B22/$D$12)-1,"")</f>
        <v>-0.73637936245523594</v>
      </c>
      <c r="C26" s="176">
        <f t="shared" ref="C26:F26" si="1">IFERROR((C22/$D$12)-1,"")</f>
        <v>-0.71064226384600415</v>
      </c>
      <c r="D26" s="176">
        <f t="shared" si="1"/>
        <v>-0.68239247028621541</v>
      </c>
      <c r="E26" s="176">
        <f t="shared" si="1"/>
        <v>-0.65138466912387227</v>
      </c>
      <c r="F26" s="210">
        <f t="shared" si="1"/>
        <v>-0.61734959800420208</v>
      </c>
      <c r="G26" s="7"/>
      <c r="H26" s="7"/>
      <c r="I26" s="7"/>
      <c r="J26" s="7"/>
      <c r="K26" s="7"/>
      <c r="L26" s="7"/>
      <c r="M26" s="7"/>
      <c r="N26" s="7"/>
      <c r="O26" s="7"/>
      <c r="P26" s="7"/>
    </row>
    <row r="27" spans="1:17" s="6" customFormat="1" ht="16" hidden="1" x14ac:dyDescent="0.2">
      <c r="H27" s="7"/>
      <c r="I27" s="7"/>
      <c r="J27" s="7"/>
      <c r="K27" s="7"/>
      <c r="L27" s="7"/>
      <c r="M27" s="7"/>
      <c r="N27" s="7"/>
      <c r="O27" s="7"/>
      <c r="P27" s="7"/>
    </row>
    <row r="28" spans="1:17" s="6" customFormat="1" ht="25" hidden="1" customHeight="1" x14ac:dyDescent="0.2">
      <c r="H28" s="7"/>
      <c r="I28" s="7"/>
      <c r="J28" s="7"/>
      <c r="K28" s="7"/>
      <c r="L28" s="7"/>
      <c r="M28" s="7"/>
      <c r="N28" s="7"/>
      <c r="O28" s="7"/>
      <c r="P28" s="7"/>
    </row>
    <row r="29" spans="1:17" s="6" customFormat="1" ht="25" hidden="1" customHeight="1" x14ac:dyDescent="0.2">
      <c r="H29" s="7"/>
      <c r="I29" s="7"/>
      <c r="J29" s="7"/>
      <c r="K29" s="7"/>
      <c r="L29" s="7"/>
      <c r="M29" s="7"/>
      <c r="N29" s="7"/>
      <c r="O29" s="7"/>
      <c r="P29" s="7"/>
    </row>
    <row r="30" spans="1:17" s="6" customFormat="1" ht="25" hidden="1" customHeight="1" x14ac:dyDescent="0.2">
      <c r="H30" s="7"/>
      <c r="I30" s="7"/>
      <c r="J30" s="7"/>
      <c r="K30" s="7"/>
      <c r="L30" s="7"/>
      <c r="M30" s="7"/>
      <c r="N30" s="7"/>
      <c r="O30" s="7"/>
      <c r="P30" s="7"/>
    </row>
    <row r="31" spans="1:17" s="6" customFormat="1" ht="25" hidden="1" customHeight="1" x14ac:dyDescent="0.2">
      <c r="H31" s="7"/>
      <c r="I31" s="7"/>
      <c r="J31" s="7"/>
      <c r="K31" s="7"/>
      <c r="L31" s="7"/>
      <c r="M31" s="7"/>
      <c r="N31" s="7"/>
      <c r="O31" s="7"/>
      <c r="P31" s="7"/>
    </row>
    <row r="32" spans="1:17" s="6" customFormat="1" ht="16" hidden="1" x14ac:dyDescent="0.2">
      <c r="H32" s="7"/>
      <c r="I32" s="7"/>
      <c r="J32" s="7"/>
      <c r="K32" s="7"/>
      <c r="L32" s="7"/>
      <c r="M32" s="7"/>
      <c r="N32" s="7"/>
      <c r="O32" s="7"/>
      <c r="P32" s="7"/>
    </row>
    <row r="33" spans="1:16" s="6" customFormat="1" ht="16" hidden="1" x14ac:dyDescent="0.2">
      <c r="A33" s="25"/>
      <c r="B33" s="7"/>
      <c r="C33" s="7"/>
      <c r="D33" s="7"/>
      <c r="E33" s="7"/>
      <c r="F33" s="7"/>
      <c r="G33" s="7"/>
      <c r="H33" s="7"/>
      <c r="I33" s="7"/>
      <c r="J33" s="7"/>
      <c r="K33" s="7"/>
      <c r="L33" s="7"/>
      <c r="M33" s="7"/>
      <c r="N33" s="7"/>
      <c r="O33" s="7"/>
      <c r="P33" s="7"/>
    </row>
    <row r="34" spans="1:16" s="6" customFormat="1" ht="16" hidden="1" x14ac:dyDescent="0.2">
      <c r="A34" s="25"/>
      <c r="B34" s="7"/>
      <c r="C34" s="7"/>
      <c r="D34" s="7"/>
      <c r="E34" s="7"/>
      <c r="F34" s="7"/>
      <c r="G34" s="7"/>
      <c r="H34" s="7"/>
      <c r="I34" s="7"/>
      <c r="J34" s="7"/>
      <c r="K34" s="7"/>
      <c r="L34" s="7"/>
      <c r="M34" s="7"/>
      <c r="N34" s="7"/>
      <c r="O34" s="7"/>
      <c r="P34" s="7"/>
    </row>
    <row r="35" spans="1:16" s="6" customFormat="1" ht="16" hidden="1" x14ac:dyDescent="0.2">
      <c r="A35" s="25"/>
      <c r="B35" s="7"/>
      <c r="C35" s="7"/>
      <c r="D35" s="7"/>
      <c r="E35" s="7"/>
      <c r="F35" s="7"/>
      <c r="G35" s="7"/>
      <c r="H35" s="7"/>
      <c r="I35" s="7"/>
      <c r="J35" s="7"/>
      <c r="K35" s="7"/>
      <c r="L35" s="7"/>
      <c r="M35" s="7"/>
      <c r="N35" s="7"/>
      <c r="O35" s="7"/>
      <c r="P35" s="7"/>
    </row>
    <row r="36" spans="1:16" s="6" customFormat="1" ht="16" hidden="1" x14ac:dyDescent="0.2">
      <c r="C36" s="7"/>
      <c r="D36" s="7"/>
      <c r="E36" s="7"/>
      <c r="F36" s="7"/>
      <c r="G36" s="7"/>
      <c r="H36" s="7"/>
      <c r="I36" s="7"/>
      <c r="J36" s="7"/>
      <c r="K36" s="7"/>
      <c r="L36" s="7"/>
      <c r="M36" s="7"/>
      <c r="N36" s="7"/>
      <c r="O36" s="7"/>
      <c r="P36" s="7"/>
    </row>
    <row r="37" spans="1:16" s="6" customFormat="1" ht="16" hidden="1" x14ac:dyDescent="0.2">
      <c r="C37" s="7"/>
      <c r="D37" s="7"/>
      <c r="E37" s="7"/>
      <c r="F37" s="7"/>
      <c r="G37" s="7"/>
      <c r="H37" s="7"/>
      <c r="I37" s="7"/>
      <c r="J37" s="7"/>
      <c r="K37" s="7"/>
      <c r="L37" s="7"/>
      <c r="M37" s="7"/>
      <c r="N37" s="7"/>
      <c r="O37" s="7"/>
      <c r="P37" s="7"/>
    </row>
    <row r="38" spans="1:16" s="6" customFormat="1" ht="16" hidden="1" x14ac:dyDescent="0.2">
      <c r="C38" s="7"/>
      <c r="D38" s="7"/>
      <c r="E38" s="7"/>
      <c r="F38" s="7"/>
      <c r="G38" s="7"/>
      <c r="H38" s="7"/>
      <c r="I38" s="7"/>
      <c r="J38" s="7"/>
      <c r="K38" s="7"/>
      <c r="L38" s="7"/>
      <c r="M38" s="7"/>
      <c r="N38" s="7"/>
      <c r="O38" s="7"/>
      <c r="P38" s="7"/>
    </row>
    <row r="39" spans="1:16" s="6" customFormat="1" ht="16" hidden="1" x14ac:dyDescent="0.2">
      <c r="C39" s="7"/>
      <c r="D39" s="7"/>
      <c r="E39" s="7"/>
      <c r="F39" s="7"/>
      <c r="G39" s="7"/>
      <c r="H39" s="7"/>
      <c r="I39" s="7"/>
      <c r="J39" s="7"/>
      <c r="K39" s="7"/>
      <c r="L39" s="7"/>
      <c r="M39" s="7"/>
      <c r="N39" s="7"/>
      <c r="O39" s="7"/>
      <c r="P39" s="7"/>
    </row>
    <row r="40" spans="1:16" s="6" customFormat="1" ht="16" hidden="1" x14ac:dyDescent="0.2">
      <c r="C40" s="7"/>
      <c r="D40" s="7"/>
      <c r="E40" s="7"/>
      <c r="F40" s="7"/>
      <c r="G40" s="7"/>
      <c r="H40" s="7"/>
      <c r="I40" s="7"/>
      <c r="J40" s="7"/>
      <c r="K40" s="7"/>
      <c r="L40" s="7"/>
      <c r="M40" s="7"/>
      <c r="N40" s="7"/>
      <c r="O40" s="7"/>
      <c r="P40" s="7"/>
    </row>
    <row r="41" spans="1:16" s="4" customFormat="1" ht="16" hidden="1" x14ac:dyDescent="0.2">
      <c r="A41" s="20"/>
      <c r="B41" s="5"/>
      <c r="C41" s="5"/>
      <c r="D41" s="5"/>
      <c r="E41" s="5"/>
      <c r="F41" s="5"/>
      <c r="G41" s="5"/>
      <c r="H41" s="5"/>
      <c r="I41" s="5"/>
      <c r="J41" s="5"/>
      <c r="K41" s="5"/>
      <c r="L41" s="5"/>
      <c r="M41" s="5"/>
      <c r="N41" s="5"/>
      <c r="O41" s="5"/>
      <c r="P41" s="5"/>
    </row>
    <row r="42" spans="1:16" s="4" customFormat="1" ht="15" customHeight="1" thickTop="1" x14ac:dyDescent="0.2">
      <c r="A42" s="20"/>
      <c r="B42" s="5"/>
      <c r="C42" s="5"/>
      <c r="D42" s="5"/>
      <c r="E42" s="5"/>
      <c r="F42" s="5"/>
      <c r="G42" s="5"/>
      <c r="H42" s="5"/>
      <c r="I42" s="5"/>
      <c r="J42" s="5"/>
      <c r="K42" s="5"/>
      <c r="L42" s="5"/>
      <c r="M42" s="5"/>
      <c r="N42" s="5"/>
      <c r="O42" s="5"/>
      <c r="P42" s="5"/>
    </row>
    <row r="43" spans="1:16" s="4" customFormat="1" ht="53.25" customHeight="1" thickBot="1" x14ac:dyDescent="0.25">
      <c r="A43" s="67"/>
      <c r="B43" s="6"/>
      <c r="C43" s="145" t="s">
        <v>217</v>
      </c>
      <c r="D43" s="306" t="s">
        <v>216</v>
      </c>
      <c r="E43" s="306"/>
      <c r="G43" s="5"/>
      <c r="H43" s="5"/>
      <c r="I43" s="5"/>
      <c r="J43" s="5"/>
      <c r="K43" s="5"/>
      <c r="L43" s="5"/>
      <c r="M43" s="5"/>
      <c r="N43" s="5"/>
      <c r="O43" s="5"/>
      <c r="P43" s="5"/>
    </row>
    <row r="44" spans="1:16" ht="25" customHeight="1" thickTop="1" thickBot="1" x14ac:dyDescent="0.25">
      <c r="A44" s="276" t="s">
        <v>218</v>
      </c>
      <c r="B44" s="270">
        <v>0.15</v>
      </c>
      <c r="C44" s="275">
        <f>IFERROR(F22/((1+B44)^5),"")</f>
        <v>187.81164564002722</v>
      </c>
      <c r="D44" s="307">
        <f>IFERROR((C44-D12)/D12,"")</f>
        <v>-0.80975512237515102</v>
      </c>
      <c r="E44" s="308"/>
      <c r="G44" s="158"/>
    </row>
    <row r="45" spans="1:16" ht="16" thickTop="1" x14ac:dyDescent="0.2"/>
  </sheetData>
  <mergeCells count="6">
    <mergeCell ref="D43:E43"/>
    <mergeCell ref="D44:E44"/>
    <mergeCell ref="A12:C12"/>
    <mergeCell ref="H20:J20"/>
    <mergeCell ref="O1:P1"/>
    <mergeCell ref="G16:I17"/>
  </mergeCells>
  <conditionalFormatting sqref="D44:E44">
    <cfRule type="cellIs" dxfId="7" priority="1" operator="greaterThan">
      <formula>0</formula>
    </cfRule>
    <cfRule type="cellIs" dxfId="6" priority="2" operator="lessThan">
      <formula>0</formula>
    </cfRule>
  </conditionalFormatting>
  <conditionalFormatting sqref="K21:K25">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ignoredErrors>
    <ignoredError sqref="D16"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7" t="str">
        <f>IF('1.IS'!A1&lt;&gt;"",'1.IS'!A1,"")</f>
        <v/>
      </c>
      <c r="B1" s="17" t="s">
        <v>179</v>
      </c>
      <c r="G1"/>
    </row>
    <row r="2" spans="1:17" ht="40" customHeight="1" x14ac:dyDescent="0.2">
      <c r="A2" s="103" t="s">
        <v>169</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4"/>
      <c r="M2" s="4"/>
      <c r="N2" s="10"/>
      <c r="O2" s="10"/>
      <c r="P2" s="10"/>
      <c r="Q2" s="101"/>
    </row>
    <row r="3" spans="1:17" ht="25" customHeight="1" x14ac:dyDescent="0.2">
      <c r="A3" s="238" t="s">
        <v>175</v>
      </c>
      <c r="B3" s="212"/>
      <c r="C3" s="196"/>
      <c r="D3" s="196"/>
      <c r="E3" s="196"/>
      <c r="F3" s="196"/>
      <c r="G3" s="196"/>
      <c r="H3" s="196"/>
      <c r="I3" s="196"/>
      <c r="J3" s="196"/>
      <c r="K3" s="197"/>
      <c r="L3" s="4"/>
      <c r="M3" s="4"/>
      <c r="N3" s="10"/>
      <c r="O3" s="10"/>
      <c r="P3" s="10"/>
      <c r="Q3" s="101"/>
    </row>
    <row r="4" spans="1:17" ht="25" customHeight="1" x14ac:dyDescent="0.2">
      <c r="A4" s="232" t="s">
        <v>163</v>
      </c>
      <c r="B4" s="124">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4.2872673264294717E-4</v>
      </c>
      <c r="H4" s="22">
        <f>IFERROR(ABS(VLOOKUP("Asset Writedown*",'7.TIKR_IS'!$A:$K,COLUMN('2.FCF'!H7),FALSE)/'1.IS'!H3),0%)+IFERROR(ABS(VLOOKUP("Impairment of Goodwill*",'7.TIKR_IS'!$A:$K,COLUMN('2.FCF'!H7),FALSE)/'1.IS'!H3),0%)</f>
        <v>5.1992914863805003E-4</v>
      </c>
      <c r="I4" s="22">
        <f>IFERROR(ABS(VLOOKUP("Asset Writedown*",'7.TIKR_IS'!$A:$K,COLUMN('2.FCF'!I7),FALSE)/'1.IS'!I3),0%)+IFERROR(ABS(VLOOKUP("Impairment of Goodwill*",'7.TIKR_IS'!$A:$K,COLUMN('2.FCF'!I7),FALSE)/'1.IS'!I3),0%)</f>
        <v>1.6137686243757482E-3</v>
      </c>
      <c r="J4" s="22">
        <f>IFERROR(ABS(VLOOKUP("Asset Writedown*",'7.TIKR_IS'!$A:$K,COLUMN('2.FCF'!J7),FALSE)/'1.IS'!J3),0%)+IFERROR(ABS(VLOOKUP("Impairment of Goodwill*",'7.TIKR_IS'!$A:$K,COLUMN('2.FCF'!J7),FALSE)/'1.IS'!J3),0%)</f>
        <v>0</v>
      </c>
      <c r="K4" s="130">
        <f>IFERROR(ABS(VLOOKUP("Asset Writedown*",'7.TIKR_IS'!$A:$K,COLUMN('2.FCF'!K7),FALSE)/'1.IS'!K3),0%)+IFERROR(ABS(VLOOKUP("Impairment of Goodwill*",'7.TIKR_IS'!$A:$K,COLUMN('2.FCF'!K7),FALSE)/'1.IS'!K3),0%)</f>
        <v>0</v>
      </c>
      <c r="L4" s="4"/>
      <c r="M4" s="4"/>
      <c r="N4" s="6"/>
      <c r="O4" s="10"/>
      <c r="P4" s="10"/>
      <c r="Q4" s="101"/>
    </row>
    <row r="5" spans="1:17" ht="25" customHeight="1" x14ac:dyDescent="0.2">
      <c r="A5" s="232" t="s">
        <v>164</v>
      </c>
      <c r="B5" s="124">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30">
        <f>IFERROR(VLOOKUP("Divestitures*",'9.TIKR_CF'!$A:$K,COLUMN('2.FCF'!K2),FALSE)/'1.IS'!K3,0%)</f>
        <v>0</v>
      </c>
      <c r="L5" s="4"/>
      <c r="M5" s="4"/>
      <c r="N5" s="6"/>
      <c r="O5" s="10"/>
      <c r="P5" s="10"/>
      <c r="Q5" s="101"/>
    </row>
    <row r="6" spans="1:17" ht="25" customHeight="1" x14ac:dyDescent="0.2">
      <c r="A6" s="232" t="s">
        <v>182</v>
      </c>
      <c r="B6" s="124">
        <f>IFERROR(VLOOKUP("Stock-Based Compensation*",'9.TIKR_CF'!$A:$K,COLUMN('2.FCF'!B2),FALSE)/'1.IS'!B3,0%)</f>
        <v>3.8662724584944282E-3</v>
      </c>
      <c r="C6" s="22">
        <f>IFERROR(VLOOKUP("Stock-Based Compensation*",'9.TIKR_CF'!$A:$K,COLUMN('2.FCF'!C2),FALSE)/'1.IS'!C3,0%)</f>
        <v>3.9837240844797523E-3</v>
      </c>
      <c r="D6" s="22">
        <f>IFERROR(VLOOKUP("Stock-Based Compensation*",'9.TIKR_CF'!$A:$K,COLUMN('2.FCF'!D2),FALSE)/'1.IS'!D3,0%)</f>
        <v>3.8424591738712775E-3</v>
      </c>
      <c r="E6" s="22">
        <f>IFERROR(VLOOKUP("Stock-Based Compensation*",'9.TIKR_CF'!$A:$K,COLUMN('2.FCF'!E2),FALSE)/'1.IS'!E3,0%)</f>
        <v>3.8964525909772566E-3</v>
      </c>
      <c r="F6" s="22">
        <f>IFERROR(VLOOKUP("Stock-Based Compensation*",'9.TIKR_CF'!$A:$K,COLUMN('2.FCF'!F2),FALSE)/'1.IS'!F3,0%)</f>
        <v>3.7118990651291367E-3</v>
      </c>
      <c r="G6" s="22">
        <f>IFERROR(VLOOKUP("Stock-Based Compensation*",'9.TIKR_CF'!$A:$K,COLUMN('2.FCF'!G2),FALSE)/'1.IS'!G3,0%)</f>
        <v>3.3940866334233317E-3</v>
      </c>
      <c r="H6" s="22">
        <f>IFERROR(VLOOKUP("Stock-Based Compensation*",'9.TIKR_CF'!$A:$K,COLUMN('2.FCF'!H2),FALSE)/'1.IS'!H3,0%)</f>
        <v>3.1900737594402389E-3</v>
      </c>
      <c r="I6" s="22">
        <f>IFERROR(VLOOKUP("Stock-Based Compensation*",'9.TIKR_CF'!$A:$K,COLUMN('2.FCF'!I2),FALSE)/'1.IS'!I3,0%)</f>
        <v>3.1945189648768003E-3</v>
      </c>
      <c r="J6" s="22">
        <f>IFERROR(VLOOKUP("Stock-Based Compensation*",'9.TIKR_CF'!$A:$K,COLUMN('2.FCF'!J2),FALSE)/'1.IS'!J3,0%)</f>
        <v>3.2147390677256704E-3</v>
      </c>
      <c r="K6" s="130">
        <f>IFERROR(VLOOKUP("Stock-Based Compensation*",'9.TIKR_CF'!$A:$K,COLUMN('2.FCF'!K2),FALSE)/'1.IS'!K3,0%)</f>
        <v>3.124602612313114E-3</v>
      </c>
      <c r="L6" s="4"/>
      <c r="M6" s="4"/>
      <c r="N6" s="6"/>
      <c r="O6" s="10"/>
      <c r="P6" s="10"/>
      <c r="Q6" s="101"/>
    </row>
    <row r="7" spans="1:17" ht="25" customHeight="1" x14ac:dyDescent="0.2">
      <c r="A7" s="233" t="s">
        <v>165</v>
      </c>
      <c r="B7" s="142">
        <f>IFERROR(VLOOKUP("Issuance of Common Stock*",'9.TIKR_CF'!$A:$K,COLUMN('2.FCF'!B2),FALSE)/'1.IS'!B3,0%)</f>
        <v>0</v>
      </c>
      <c r="C7" s="139">
        <f>IFERROR(VLOOKUP("Issuance of Common Stock*",'9.TIKR_CF'!$A:$K,COLUMN('2.FCF'!C2),FALSE)/'1.IS'!C3,0%)</f>
        <v>0</v>
      </c>
      <c r="D7" s="139">
        <f>IFERROR(VLOOKUP("Issuance of Common Stock*",'9.TIKR_CF'!$A:$K,COLUMN('2.FCF'!D2),FALSE)/'1.IS'!D3,0%)</f>
        <v>0</v>
      </c>
      <c r="E7" s="139">
        <f>IFERROR(VLOOKUP("Issuance of Common Stock*",'9.TIKR_CF'!$A:$K,COLUMN('2.FCF'!E2),FALSE)/'1.IS'!E3,0%)</f>
        <v>0</v>
      </c>
      <c r="F7" s="139">
        <f>IFERROR(VLOOKUP("Issuance of Common Stock*",'9.TIKR_CF'!$A:$K,COLUMN('2.FCF'!F2),FALSE)/'1.IS'!F3,0%)</f>
        <v>0</v>
      </c>
      <c r="G7" s="139">
        <f>IFERROR(VLOOKUP("Issuance of Common Stock*",'9.TIKR_CF'!$A:$K,COLUMN('2.FCF'!G2),FALSE)/'1.IS'!G3,0%)</f>
        <v>0</v>
      </c>
      <c r="H7" s="139">
        <f>IFERROR(VLOOKUP("Issuance of Common Stock*",'9.TIKR_CF'!$A:$K,COLUMN('2.FCF'!H2),FALSE)/'1.IS'!H3,0%)</f>
        <v>0</v>
      </c>
      <c r="I7" s="139">
        <f>IFERROR(VLOOKUP("Issuance of Common Stock*",'9.TIKR_CF'!$A:$K,COLUMN('2.FCF'!I2),FALSE)/'1.IS'!I3,0%)</f>
        <v>0</v>
      </c>
      <c r="J7" s="139">
        <f>IFERROR(VLOOKUP("Issuance of Common Stock*",'9.TIKR_CF'!$A:$K,COLUMN('2.FCF'!J2),FALSE)/'1.IS'!J3,0%)</f>
        <v>0</v>
      </c>
      <c r="K7" s="198">
        <f>IFERROR(VLOOKUP("Issuance of Common Stock*",'9.TIKR_CF'!$A:$K,COLUMN('2.FCF'!K2),FALSE)/'1.IS'!K3,0%)</f>
        <v>0</v>
      </c>
      <c r="L7" s="4"/>
      <c r="M7" s="4"/>
      <c r="N7" s="6"/>
    </row>
    <row r="8" spans="1:17" ht="25" customHeight="1" x14ac:dyDescent="0.2">
      <c r="A8" s="172"/>
      <c r="B8" s="101"/>
      <c r="C8" s="101"/>
      <c r="D8" s="101"/>
      <c r="E8" s="101"/>
      <c r="F8" s="101"/>
      <c r="G8" s="101"/>
      <c r="H8" s="101"/>
      <c r="I8" s="101"/>
      <c r="J8" s="101"/>
      <c r="K8" s="101"/>
      <c r="L8" s="101"/>
      <c r="M8" s="101"/>
    </row>
    <row r="9" spans="1:17" ht="40" customHeight="1" x14ac:dyDescent="0.2">
      <c r="A9" s="103" t="s">
        <v>170</v>
      </c>
      <c r="B9" s="55" t="s">
        <v>138</v>
      </c>
      <c r="C9" s="231"/>
      <c r="D9" s="231"/>
      <c r="E9" s="231"/>
      <c r="F9" s="231"/>
      <c r="G9" s="231"/>
      <c r="H9" s="231"/>
      <c r="I9" s="231"/>
      <c r="J9" s="231"/>
      <c r="K9" s="231"/>
      <c r="L9" s="4"/>
      <c r="M9" s="4"/>
      <c r="N9" s="10"/>
      <c r="O9" s="10"/>
      <c r="P9" s="10"/>
      <c r="Q9" s="101"/>
    </row>
    <row r="10" spans="1:17" ht="25" customHeight="1" x14ac:dyDescent="0.2">
      <c r="A10" s="238" t="s">
        <v>171</v>
      </c>
      <c r="B10" s="236"/>
      <c r="C10" s="62"/>
      <c r="D10" s="62"/>
      <c r="E10" s="62"/>
      <c r="F10" s="62"/>
      <c r="G10" s="62"/>
      <c r="H10" s="62"/>
      <c r="I10" s="62"/>
      <c r="J10" s="62"/>
      <c r="K10" s="62"/>
      <c r="L10" s="213"/>
      <c r="M10" s="101"/>
      <c r="N10" s="6"/>
    </row>
    <row r="11" spans="1:17" ht="25" customHeight="1" x14ac:dyDescent="0.2">
      <c r="A11" s="232" t="s">
        <v>172</v>
      </c>
      <c r="B11" s="234">
        <f>TIKR_Cálculos!L72</f>
        <v>0</v>
      </c>
      <c r="C11" s="62"/>
      <c r="D11" s="62"/>
      <c r="E11" s="62"/>
      <c r="F11" s="62"/>
      <c r="G11" s="62"/>
      <c r="H11" s="62"/>
      <c r="I11" s="62"/>
      <c r="J11" s="62"/>
      <c r="K11" s="62"/>
      <c r="L11" s="213"/>
      <c r="M11" s="101"/>
      <c r="N11" s="6"/>
    </row>
    <row r="12" spans="1:17" ht="25" customHeight="1" x14ac:dyDescent="0.2">
      <c r="A12" s="232" t="s">
        <v>173</v>
      </c>
      <c r="B12" s="234">
        <f>TIKR_Cálculos!L73</f>
        <v>2</v>
      </c>
    </row>
    <row r="13" spans="1:17" ht="25" customHeight="1" x14ac:dyDescent="0.2">
      <c r="A13" s="232" t="s">
        <v>174</v>
      </c>
      <c r="B13" s="234">
        <f>TIKR_Cálculos!L74</f>
        <v>2</v>
      </c>
    </row>
    <row r="14" spans="1:17" ht="25" customHeight="1" x14ac:dyDescent="0.2">
      <c r="A14" s="232" t="s">
        <v>176</v>
      </c>
      <c r="B14" s="234">
        <f>TIKR_Cálculos!L75</f>
        <v>0</v>
      </c>
    </row>
    <row r="15" spans="1:17" ht="25" customHeight="1" x14ac:dyDescent="0.2">
      <c r="A15" s="233" t="s">
        <v>178</v>
      </c>
      <c r="B15" s="237">
        <f>TIKR_Cálculos!L76</f>
        <v>0</v>
      </c>
    </row>
    <row r="16" spans="1:17" ht="25" customHeight="1" x14ac:dyDescent="0.2"/>
    <row r="17" spans="1:20" ht="25" customHeight="1" x14ac:dyDescent="0.2">
      <c r="B17" s="239"/>
      <c r="C17" s="239"/>
      <c r="D17" s="239"/>
      <c r="E17" s="239"/>
      <c r="F17" s="239"/>
      <c r="G17" s="239"/>
      <c r="H17" s="239"/>
      <c r="I17" s="239"/>
      <c r="J17" s="239"/>
      <c r="K17" s="239"/>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69"/>
      <c r="M31" s="69"/>
      <c r="R31" s="4"/>
      <c r="S31" s="4"/>
      <c r="T31" s="4"/>
    </row>
    <row r="32" spans="1:20" s="5" customFormat="1" ht="17" x14ac:dyDescent="0.2">
      <c r="A32" s="4"/>
      <c r="L32" s="213"/>
      <c r="M32" s="213"/>
      <c r="R32" s="4"/>
      <c r="S32" s="4"/>
      <c r="T32" s="4"/>
    </row>
    <row r="33" spans="1:20" s="5" customFormat="1" ht="17" x14ac:dyDescent="0.2">
      <c r="A33" s="4"/>
      <c r="L33" s="213"/>
      <c r="M33" s="213"/>
      <c r="R33" s="4"/>
      <c r="S33" s="4"/>
      <c r="T33" s="4"/>
    </row>
    <row r="34" spans="1:20" s="5" customFormat="1" ht="17" x14ac:dyDescent="0.2">
      <c r="A34" s="4"/>
      <c r="L34" s="213"/>
      <c r="M34" s="213"/>
      <c r="R34" s="4"/>
      <c r="S34" s="4"/>
      <c r="T34" s="4"/>
    </row>
    <row r="35" spans="1:20" s="5" customFormat="1" ht="17" x14ac:dyDescent="0.2">
      <c r="A35" s="4"/>
      <c r="L35" s="213"/>
      <c r="M35" s="213"/>
      <c r="R35" s="4"/>
      <c r="S35" s="4"/>
      <c r="T35" s="4"/>
    </row>
    <row r="36" spans="1:20" s="5" customFormat="1" ht="17" x14ac:dyDescent="0.2">
      <c r="A36" s="4"/>
      <c r="L36" s="213"/>
      <c r="M36" s="213"/>
      <c r="R36" s="4"/>
      <c r="S36" s="4"/>
      <c r="T36" s="4"/>
    </row>
  </sheetData>
  <conditionalFormatting sqref="B11:B15">
    <cfRule type="cellIs" dxfId="2" priority="1" operator="greaterThan">
      <formula>1</formula>
    </cfRule>
  </conditionalFormatting>
  <conditionalFormatting sqref="B3:K3">
    <cfRule type="cellIs" dxfId="1" priority="4" operator="greaterThan">
      <formula>0.01</formula>
    </cfRule>
  </conditionalFormatting>
  <conditionalFormatting sqref="B4:K7">
    <cfRule type="cellIs" dxfId="0" priority="2"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7" t="str">
        <f>IF('1.IS'!A1&lt;&gt;"",'1.IS'!A1,"")</f>
        <v/>
      </c>
      <c r="B1" s="17" t="s">
        <v>90</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63"/>
      <c r="C52" s="163"/>
      <c r="D52" s="163"/>
      <c r="E52" s="163"/>
      <c r="F52" s="163"/>
      <c r="G52" s="163"/>
      <c r="H52" s="163"/>
      <c r="I52" s="7"/>
    </row>
    <row r="53" spans="2:9" s="6" customFormat="1" x14ac:dyDescent="0.2">
      <c r="B53" s="163"/>
      <c r="C53" s="163"/>
      <c r="D53" s="163"/>
      <c r="E53" s="163"/>
      <c r="F53" s="163"/>
      <c r="G53" s="163"/>
      <c r="H53" s="163"/>
      <c r="I53" s="7"/>
    </row>
    <row r="54" spans="2:9" s="6" customFormat="1" x14ac:dyDescent="0.2">
      <c r="B54" s="163"/>
      <c r="C54" s="163"/>
      <c r="D54" s="163"/>
      <c r="E54" s="163"/>
      <c r="F54" s="163"/>
      <c r="G54" s="163"/>
      <c r="H54" s="163"/>
      <c r="I54" s="7"/>
    </row>
    <row r="55" spans="2:9" s="6" customFormat="1" x14ac:dyDescent="0.2">
      <c r="B55" s="163"/>
      <c r="C55" s="163"/>
      <c r="D55" s="163"/>
      <c r="E55" s="163"/>
      <c r="F55" s="163"/>
      <c r="G55" s="163"/>
      <c r="H55" s="163"/>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1:L68"/>
  <sheetViews>
    <sheetView showGridLines="0" workbookViewId="0">
      <pane xSplit="1" ySplit="2" topLeftCell="B3" activePane="bottomRight" state="frozen"/>
      <selection pane="topRight" activeCell="B1" sqref="B1"/>
      <selection pane="bottomLeft" activeCell="A3" sqref="A3"/>
      <selection pane="bottomRight" activeCell="K2" sqref="K2"/>
    </sheetView>
  </sheetViews>
  <sheetFormatPr baseColWidth="10" defaultColWidth="0" defaultRowHeight="15" x14ac:dyDescent="0.2"/>
  <cols>
    <col min="1" max="1" width="48.5" bestFit="1" customWidth="1"/>
    <col min="2" max="11" width="14.6640625" style="3" customWidth="1"/>
    <col min="12" max="12" width="14.6640625" style="3" hidden="1" customWidth="1"/>
    <col min="13" max="16384" width="11.5" hidden="1"/>
  </cols>
  <sheetData>
    <row r="1" spans="1:12" x14ac:dyDescent="0.2">
      <c r="A1" s="317"/>
      <c r="B1" s="317"/>
      <c r="C1" s="317"/>
      <c r="D1" s="317"/>
      <c r="E1" s="317"/>
      <c r="F1" s="317"/>
      <c r="G1" s="317"/>
      <c r="H1" s="317"/>
      <c r="I1" s="317"/>
      <c r="J1" s="317"/>
    </row>
    <row r="2" spans="1:12" s="75" customFormat="1" ht="19" x14ac:dyDescent="0.25">
      <c r="A2" s="279" t="s">
        <v>224</v>
      </c>
      <c r="B2" s="279" t="s">
        <v>282</v>
      </c>
      <c r="C2" s="280">
        <v>42803</v>
      </c>
      <c r="D2" s="280">
        <v>43140</v>
      </c>
      <c r="E2" s="280">
        <v>43474</v>
      </c>
      <c r="F2" s="279" t="s">
        <v>225</v>
      </c>
      <c r="G2" s="279" t="s">
        <v>226</v>
      </c>
      <c r="H2" s="279" t="s">
        <v>227</v>
      </c>
      <c r="I2" s="280">
        <v>44994</v>
      </c>
      <c r="J2" s="280">
        <v>45300</v>
      </c>
      <c r="K2" s="279" t="s">
        <v>228</v>
      </c>
      <c r="L2" s="77"/>
    </row>
    <row r="3" spans="1:12" x14ac:dyDescent="0.2">
      <c r="B3"/>
      <c r="C3"/>
      <c r="D3"/>
      <c r="E3"/>
      <c r="F3"/>
      <c r="G3"/>
      <c r="H3"/>
      <c r="I3"/>
      <c r="J3"/>
      <c r="K3"/>
      <c r="L3" s="74"/>
    </row>
    <row r="4" spans="1:12" ht="19" x14ac:dyDescent="0.25">
      <c r="A4" s="281" t="s">
        <v>229</v>
      </c>
      <c r="B4" s="282">
        <v>118719</v>
      </c>
      <c r="C4" s="282">
        <v>129025</v>
      </c>
      <c r="D4" s="282">
        <v>141576</v>
      </c>
      <c r="E4" s="282">
        <v>152703</v>
      </c>
      <c r="F4" s="282">
        <v>166761</v>
      </c>
      <c r="G4" s="282">
        <v>195929</v>
      </c>
      <c r="H4" s="282">
        <v>226954</v>
      </c>
      <c r="I4" s="282">
        <v>242290</v>
      </c>
      <c r="J4" s="282">
        <v>254453</v>
      </c>
      <c r="K4" s="282">
        <v>275235</v>
      </c>
      <c r="L4" s="74"/>
    </row>
    <row r="5" spans="1:12" ht="19" x14ac:dyDescent="0.25">
      <c r="A5" s="283" t="s">
        <v>230</v>
      </c>
      <c r="B5" s="284">
        <v>118719</v>
      </c>
      <c r="C5" s="284">
        <v>129025</v>
      </c>
      <c r="D5" s="284">
        <v>141576</v>
      </c>
      <c r="E5" s="284">
        <v>152703</v>
      </c>
      <c r="F5" s="284">
        <v>166761</v>
      </c>
      <c r="G5" s="284">
        <v>195929</v>
      </c>
      <c r="H5" s="284">
        <v>226954</v>
      </c>
      <c r="I5" s="284">
        <v>242290</v>
      </c>
      <c r="J5" s="284">
        <v>254453</v>
      </c>
      <c r="K5" s="284">
        <v>275235</v>
      </c>
      <c r="L5" s="74"/>
    </row>
    <row r="6" spans="1:12" ht="19" x14ac:dyDescent="0.25">
      <c r="A6" s="285" t="s">
        <v>231</v>
      </c>
      <c r="B6" s="286">
        <v>2.1999999999999999E-2</v>
      </c>
      <c r="C6" s="286">
        <v>8.6999999999999994E-2</v>
      </c>
      <c r="D6" s="286">
        <v>9.7000000000000003E-2</v>
      </c>
      <c r="E6" s="286">
        <v>7.9000000000000001E-2</v>
      </c>
      <c r="F6" s="286">
        <v>9.1999999999999998E-2</v>
      </c>
      <c r="G6" s="286">
        <v>0.17499999999999999</v>
      </c>
      <c r="H6" s="286">
        <v>0.158</v>
      </c>
      <c r="I6" s="286">
        <v>6.8000000000000005E-2</v>
      </c>
      <c r="J6" s="286">
        <v>0.05</v>
      </c>
      <c r="K6" s="286">
        <v>8.2000000000000003E-2</v>
      </c>
      <c r="L6" s="74"/>
    </row>
    <row r="7" spans="1:12" ht="19" x14ac:dyDescent="0.25">
      <c r="A7" s="281" t="s">
        <v>232</v>
      </c>
      <c r="B7" s="287">
        <v>-102901</v>
      </c>
      <c r="C7" s="287">
        <v>-111882</v>
      </c>
      <c r="D7" s="287">
        <v>-123152</v>
      </c>
      <c r="E7" s="287">
        <v>-132886</v>
      </c>
      <c r="F7" s="287">
        <v>-144939</v>
      </c>
      <c r="G7" s="287">
        <v>-170684</v>
      </c>
      <c r="H7" s="287">
        <v>-199382</v>
      </c>
      <c r="I7" s="287">
        <v>-212195</v>
      </c>
      <c r="J7" s="287">
        <v>-222358</v>
      </c>
      <c r="K7" s="287">
        <v>-239886</v>
      </c>
      <c r="L7" s="74"/>
    </row>
    <row r="8" spans="1:12" ht="19" x14ac:dyDescent="0.25">
      <c r="A8" s="283" t="s">
        <v>233</v>
      </c>
      <c r="B8" s="284">
        <v>15818</v>
      </c>
      <c r="C8" s="284">
        <v>17143</v>
      </c>
      <c r="D8" s="284">
        <v>18424</v>
      </c>
      <c r="E8" s="284">
        <v>19817</v>
      </c>
      <c r="F8" s="284">
        <v>21822</v>
      </c>
      <c r="G8" s="284">
        <v>25245</v>
      </c>
      <c r="H8" s="284">
        <v>27572</v>
      </c>
      <c r="I8" s="284">
        <v>30095</v>
      </c>
      <c r="J8" s="284">
        <v>32095</v>
      </c>
      <c r="K8" s="284">
        <v>35349</v>
      </c>
      <c r="L8" s="74"/>
    </row>
    <row r="9" spans="1:12" ht="19" x14ac:dyDescent="0.25">
      <c r="A9" s="285" t="s">
        <v>231</v>
      </c>
      <c r="B9" s="286">
        <v>4.4999999999999998E-2</v>
      </c>
      <c r="C9" s="286">
        <v>8.4000000000000005E-2</v>
      </c>
      <c r="D9" s="286">
        <v>7.4999999999999997E-2</v>
      </c>
      <c r="E9" s="286">
        <v>7.5999999999999998E-2</v>
      </c>
      <c r="F9" s="286">
        <v>0.10100000000000001</v>
      </c>
      <c r="G9" s="286">
        <v>0.157</v>
      </c>
      <c r="H9" s="286">
        <v>9.1999999999999998E-2</v>
      </c>
      <c r="I9" s="286">
        <v>9.1999999999999998E-2</v>
      </c>
      <c r="J9" s="286">
        <v>6.6000000000000003E-2</v>
      </c>
      <c r="K9" s="286">
        <v>0.10100000000000001</v>
      </c>
      <c r="L9" s="74"/>
    </row>
    <row r="10" spans="1:12" ht="19" x14ac:dyDescent="0.25">
      <c r="A10" s="285" t="s">
        <v>234</v>
      </c>
      <c r="B10" s="286">
        <v>0.13300000000000001</v>
      </c>
      <c r="C10" s="286">
        <v>0.13300000000000001</v>
      </c>
      <c r="D10" s="286">
        <v>0.13</v>
      </c>
      <c r="E10" s="286">
        <v>0.13</v>
      </c>
      <c r="F10" s="286">
        <v>0.13100000000000001</v>
      </c>
      <c r="G10" s="286">
        <v>0.129</v>
      </c>
      <c r="H10" s="286">
        <v>0.121</v>
      </c>
      <c r="I10" s="286">
        <v>0.124</v>
      </c>
      <c r="J10" s="286">
        <v>0.126</v>
      </c>
      <c r="K10" s="286">
        <v>0.128</v>
      </c>
      <c r="L10" s="74"/>
    </row>
    <row r="11" spans="1:12" ht="19" x14ac:dyDescent="0.25">
      <c r="A11" s="281" t="s">
        <v>235</v>
      </c>
      <c r="B11" s="287">
        <v>-12068</v>
      </c>
      <c r="C11" s="287">
        <v>-12950</v>
      </c>
      <c r="D11" s="287">
        <v>-13876</v>
      </c>
      <c r="E11" s="287">
        <v>-14994</v>
      </c>
      <c r="F11" s="287">
        <v>-16387</v>
      </c>
      <c r="G11" s="287">
        <v>-18453</v>
      </c>
      <c r="H11" s="287">
        <v>-19661</v>
      </c>
      <c r="I11" s="287">
        <v>-21590</v>
      </c>
      <c r="J11" s="287">
        <v>-22810</v>
      </c>
      <c r="K11" s="287">
        <v>-24966</v>
      </c>
      <c r="L11" s="74"/>
    </row>
    <row r="12" spans="1:12" ht="19" x14ac:dyDescent="0.25">
      <c r="A12" s="281" t="s">
        <v>236</v>
      </c>
      <c r="B12" s="288">
        <v>-78</v>
      </c>
      <c r="C12" s="288">
        <v>-82</v>
      </c>
      <c r="D12" s="288">
        <v>-68</v>
      </c>
      <c r="E12" s="288">
        <v>-86</v>
      </c>
      <c r="F12" s="289"/>
      <c r="G12" s="289"/>
      <c r="H12" s="289"/>
      <c r="I12" s="289"/>
      <c r="J12" s="289"/>
      <c r="K12" s="289"/>
      <c r="L12" s="74"/>
    </row>
    <row r="13" spans="1:12" ht="19" x14ac:dyDescent="0.25">
      <c r="A13" s="281" t="s">
        <v>237</v>
      </c>
      <c r="B13" s="289"/>
      <c r="C13" s="289"/>
      <c r="D13" s="289"/>
      <c r="E13" s="289"/>
      <c r="F13" s="289"/>
      <c r="G13" s="289"/>
      <c r="H13" s="289"/>
      <c r="I13" s="289"/>
      <c r="J13" s="289"/>
      <c r="K13" s="289"/>
      <c r="L13" s="74"/>
    </row>
    <row r="14" spans="1:12" ht="19" x14ac:dyDescent="0.25">
      <c r="A14" s="283" t="s">
        <v>238</v>
      </c>
      <c r="B14" s="290">
        <v>-12146</v>
      </c>
      <c r="C14" s="290">
        <v>-13032</v>
      </c>
      <c r="D14" s="290">
        <v>-13944</v>
      </c>
      <c r="E14" s="290">
        <v>-15080</v>
      </c>
      <c r="F14" s="290">
        <v>-16387</v>
      </c>
      <c r="G14" s="290">
        <v>-18453</v>
      </c>
      <c r="H14" s="290">
        <v>-19661</v>
      </c>
      <c r="I14" s="290">
        <v>-21590</v>
      </c>
      <c r="J14" s="290">
        <v>-22810</v>
      </c>
      <c r="K14" s="290">
        <v>-24966</v>
      </c>
      <c r="L14" s="74"/>
    </row>
    <row r="15" spans="1:12" ht="19" x14ac:dyDescent="0.25">
      <c r="A15" s="283" t="s">
        <v>239</v>
      </c>
      <c r="B15" s="284">
        <v>3672</v>
      </c>
      <c r="C15" s="284">
        <v>4111</v>
      </c>
      <c r="D15" s="284">
        <v>4480</v>
      </c>
      <c r="E15" s="284">
        <v>4737</v>
      </c>
      <c r="F15" s="284">
        <v>5435</v>
      </c>
      <c r="G15" s="284">
        <v>6792</v>
      </c>
      <c r="H15" s="284">
        <v>7911</v>
      </c>
      <c r="I15" s="284">
        <v>8505</v>
      </c>
      <c r="J15" s="284">
        <v>9285</v>
      </c>
      <c r="K15" s="284">
        <v>10383</v>
      </c>
      <c r="L15" s="74"/>
    </row>
    <row r="16" spans="1:12" ht="19" x14ac:dyDescent="0.25">
      <c r="A16" s="285" t="s">
        <v>231</v>
      </c>
      <c r="B16" s="286">
        <v>1.2999999999999999E-2</v>
      </c>
      <c r="C16" s="286">
        <v>0.12</v>
      </c>
      <c r="D16" s="286">
        <v>0.09</v>
      </c>
      <c r="E16" s="286">
        <v>5.7000000000000002E-2</v>
      </c>
      <c r="F16" s="286">
        <v>0.14699999999999999</v>
      </c>
      <c r="G16" s="286">
        <v>0.25</v>
      </c>
      <c r="H16" s="286">
        <v>0.16500000000000001</v>
      </c>
      <c r="I16" s="286">
        <v>7.4999999999999997E-2</v>
      </c>
      <c r="J16" s="286">
        <v>9.1999999999999998E-2</v>
      </c>
      <c r="K16" s="286">
        <v>0.11799999999999999</v>
      </c>
      <c r="L16" s="74"/>
    </row>
    <row r="17" spans="1:12" ht="19" x14ac:dyDescent="0.25">
      <c r="A17" s="285" t="s">
        <v>240</v>
      </c>
      <c r="B17" s="286">
        <v>3.1E-2</v>
      </c>
      <c r="C17" s="286">
        <v>3.2000000000000001E-2</v>
      </c>
      <c r="D17" s="286">
        <v>3.2000000000000001E-2</v>
      </c>
      <c r="E17" s="286">
        <v>3.1E-2</v>
      </c>
      <c r="F17" s="286">
        <v>3.3000000000000002E-2</v>
      </c>
      <c r="G17" s="286">
        <v>3.5000000000000003E-2</v>
      </c>
      <c r="H17" s="286">
        <v>3.5000000000000003E-2</v>
      </c>
      <c r="I17" s="286">
        <v>3.5000000000000003E-2</v>
      </c>
      <c r="J17" s="286">
        <v>3.5999999999999997E-2</v>
      </c>
      <c r="K17" s="286">
        <v>3.7999999999999999E-2</v>
      </c>
      <c r="L17" s="74"/>
    </row>
    <row r="18" spans="1:12" ht="19" x14ac:dyDescent="0.25">
      <c r="A18" s="281" t="s">
        <v>241</v>
      </c>
      <c r="B18" s="288">
        <v>-133</v>
      </c>
      <c r="C18" s="288">
        <v>-134</v>
      </c>
      <c r="D18" s="288">
        <v>-159</v>
      </c>
      <c r="E18" s="288">
        <v>-150</v>
      </c>
      <c r="F18" s="288">
        <v>-160</v>
      </c>
      <c r="G18" s="288">
        <v>-171</v>
      </c>
      <c r="H18" s="288">
        <v>-158</v>
      </c>
      <c r="I18" s="288">
        <v>-160</v>
      </c>
      <c r="J18" s="288">
        <v>-169</v>
      </c>
      <c r="K18" s="288">
        <v>-154</v>
      </c>
      <c r="L18" s="74"/>
    </row>
    <row r="19" spans="1:12" ht="19" x14ac:dyDescent="0.25">
      <c r="A19" s="281" t="s">
        <v>242</v>
      </c>
      <c r="B19" s="291">
        <v>41</v>
      </c>
      <c r="C19" s="291">
        <v>50</v>
      </c>
      <c r="D19" s="291">
        <v>75</v>
      </c>
      <c r="E19" s="291">
        <v>126</v>
      </c>
      <c r="F19" s="291">
        <v>89</v>
      </c>
      <c r="G19" s="291">
        <v>41</v>
      </c>
      <c r="H19" s="291">
        <v>61</v>
      </c>
      <c r="I19" s="291">
        <v>470</v>
      </c>
      <c r="J19" s="291">
        <v>533</v>
      </c>
      <c r="K19" s="291">
        <v>469</v>
      </c>
      <c r="L19" s="74"/>
    </row>
    <row r="20" spans="1:12" ht="19" x14ac:dyDescent="0.25">
      <c r="A20" s="281" t="s">
        <v>243</v>
      </c>
      <c r="B20" s="289"/>
      <c r="C20" s="289"/>
      <c r="D20" s="289"/>
      <c r="E20" s="289"/>
      <c r="F20" s="289"/>
      <c r="G20" s="289"/>
      <c r="H20" s="289"/>
      <c r="I20" s="289"/>
      <c r="J20" s="289"/>
      <c r="K20" s="289"/>
      <c r="L20" s="74"/>
    </row>
    <row r="21" spans="1:12" ht="19" x14ac:dyDescent="0.25">
      <c r="A21" s="281" t="s">
        <v>244</v>
      </c>
      <c r="B21" s="291">
        <v>28</v>
      </c>
      <c r="C21" s="288">
        <v>-5</v>
      </c>
      <c r="D21" s="291">
        <v>23</v>
      </c>
      <c r="E21" s="291">
        <v>27</v>
      </c>
      <c r="F21" s="291">
        <v>7</v>
      </c>
      <c r="G21" s="291">
        <v>56</v>
      </c>
      <c r="H21" s="291">
        <v>106</v>
      </c>
      <c r="I21" s="291">
        <v>29</v>
      </c>
      <c r="J21" s="291">
        <v>26</v>
      </c>
      <c r="K21" s="291">
        <v>84</v>
      </c>
      <c r="L21" s="74"/>
    </row>
    <row r="22" spans="1:12" ht="19" x14ac:dyDescent="0.25">
      <c r="A22" s="281" t="s">
        <v>245</v>
      </c>
      <c r="B22" s="291">
        <v>11</v>
      </c>
      <c r="C22" s="291">
        <v>17</v>
      </c>
      <c r="D22" s="291">
        <v>23</v>
      </c>
      <c r="E22" s="291">
        <v>25</v>
      </c>
      <c r="F22" s="288">
        <v>-4</v>
      </c>
      <c r="G22" s="291">
        <v>46</v>
      </c>
      <c r="H22" s="291">
        <v>38</v>
      </c>
      <c r="I22" s="291">
        <v>34</v>
      </c>
      <c r="J22" s="291">
        <v>65</v>
      </c>
      <c r="K22" s="291">
        <v>36</v>
      </c>
      <c r="L22" s="74"/>
    </row>
    <row r="23" spans="1:12" ht="19" x14ac:dyDescent="0.25">
      <c r="A23" s="283" t="s">
        <v>246</v>
      </c>
      <c r="B23" s="284">
        <v>3619</v>
      </c>
      <c r="C23" s="284">
        <v>4039</v>
      </c>
      <c r="D23" s="284">
        <v>4442</v>
      </c>
      <c r="E23" s="284">
        <v>4765</v>
      </c>
      <c r="F23" s="284">
        <v>5367</v>
      </c>
      <c r="G23" s="284">
        <v>6764</v>
      </c>
      <c r="H23" s="284">
        <v>7958</v>
      </c>
      <c r="I23" s="284">
        <v>8878</v>
      </c>
      <c r="J23" s="284">
        <v>9740</v>
      </c>
      <c r="K23" s="284">
        <v>10818</v>
      </c>
      <c r="L23" s="74"/>
    </row>
    <row r="24" spans="1:12" ht="19" x14ac:dyDescent="0.25">
      <c r="A24" s="281" t="s">
        <v>247</v>
      </c>
      <c r="B24" s="289"/>
      <c r="C24" s="289"/>
      <c r="D24" s="289"/>
      <c r="E24" s="289"/>
      <c r="F24" s="289"/>
      <c r="G24" s="289"/>
      <c r="H24" s="289"/>
      <c r="I24" s="289"/>
      <c r="J24" s="289"/>
      <c r="K24" s="289"/>
      <c r="L24" s="74"/>
    </row>
    <row r="25" spans="1:12" ht="19" x14ac:dyDescent="0.25">
      <c r="A25" s="281" t="s">
        <v>248</v>
      </c>
      <c r="B25" s="289"/>
      <c r="C25" s="289"/>
      <c r="D25" s="289"/>
      <c r="E25" s="289"/>
      <c r="F25" s="289"/>
      <c r="G25" s="288">
        <v>-84</v>
      </c>
      <c r="H25" s="288">
        <v>-118</v>
      </c>
      <c r="I25" s="288">
        <v>-391</v>
      </c>
      <c r="J25" s="289"/>
      <c r="K25" s="289"/>
      <c r="L25" s="74"/>
    </row>
    <row r="26" spans="1:12" ht="19" x14ac:dyDescent="0.25">
      <c r="A26" s="281" t="s">
        <v>249</v>
      </c>
      <c r="B26" s="289"/>
      <c r="C26" s="289"/>
      <c r="D26" s="289"/>
      <c r="E26" s="289"/>
      <c r="F26" s="289"/>
      <c r="G26" s="289"/>
      <c r="H26" s="289"/>
      <c r="I26" s="289"/>
      <c r="J26" s="289"/>
      <c r="K26" s="289"/>
      <c r="L26" s="74"/>
    </row>
    <row r="27" spans="1:12" ht="19" x14ac:dyDescent="0.25">
      <c r="A27" s="281" t="s">
        <v>250</v>
      </c>
      <c r="B27" s="289"/>
      <c r="C27" s="289"/>
      <c r="D27" s="289"/>
      <c r="E27" s="289"/>
      <c r="F27" s="289"/>
      <c r="G27" s="289"/>
      <c r="H27" s="289"/>
      <c r="I27" s="289"/>
      <c r="J27" s="289"/>
      <c r="K27" s="289"/>
      <c r="L27" s="74"/>
    </row>
    <row r="28" spans="1:12" ht="19" x14ac:dyDescent="0.25">
      <c r="A28" s="283" t="s">
        <v>251</v>
      </c>
      <c r="B28" s="284">
        <v>3619</v>
      </c>
      <c r="C28" s="284">
        <v>4039</v>
      </c>
      <c r="D28" s="284">
        <v>4442</v>
      </c>
      <c r="E28" s="284">
        <v>4765</v>
      </c>
      <c r="F28" s="284">
        <v>5367</v>
      </c>
      <c r="G28" s="284">
        <v>6680</v>
      </c>
      <c r="H28" s="284">
        <v>7840</v>
      </c>
      <c r="I28" s="284">
        <v>8487</v>
      </c>
      <c r="J28" s="284">
        <v>9740</v>
      </c>
      <c r="K28" s="284">
        <v>10818</v>
      </c>
      <c r="L28" s="74"/>
    </row>
    <row r="29" spans="1:12" ht="19" x14ac:dyDescent="0.25">
      <c r="A29" s="281" t="s">
        <v>252</v>
      </c>
      <c r="B29" s="287">
        <v>-1243</v>
      </c>
      <c r="C29" s="287">
        <v>-1325</v>
      </c>
      <c r="D29" s="287">
        <v>-1263</v>
      </c>
      <c r="E29" s="287">
        <v>-1061</v>
      </c>
      <c r="F29" s="287">
        <v>-1308</v>
      </c>
      <c r="G29" s="287">
        <v>-1601</v>
      </c>
      <c r="H29" s="287">
        <v>-1925</v>
      </c>
      <c r="I29" s="287">
        <v>-2195</v>
      </c>
      <c r="J29" s="287">
        <v>-2373</v>
      </c>
      <c r="K29" s="287">
        <v>-2719</v>
      </c>
      <c r="L29" s="74"/>
    </row>
    <row r="30" spans="1:12" ht="19" x14ac:dyDescent="0.25">
      <c r="A30" s="283" t="s">
        <v>253</v>
      </c>
      <c r="B30" s="284">
        <v>2376</v>
      </c>
      <c r="C30" s="284">
        <v>2714</v>
      </c>
      <c r="D30" s="284">
        <v>3179</v>
      </c>
      <c r="E30" s="284">
        <v>3704</v>
      </c>
      <c r="F30" s="284">
        <v>4059</v>
      </c>
      <c r="G30" s="284">
        <v>5079</v>
      </c>
      <c r="H30" s="284">
        <v>5915</v>
      </c>
      <c r="I30" s="284">
        <v>6292</v>
      </c>
      <c r="J30" s="284">
        <v>7367</v>
      </c>
      <c r="K30" s="284">
        <v>8099</v>
      </c>
      <c r="L30" s="74"/>
    </row>
    <row r="31" spans="1:12" ht="19" x14ac:dyDescent="0.25">
      <c r="A31" s="281" t="s">
        <v>254</v>
      </c>
      <c r="B31" s="289"/>
      <c r="C31" s="289"/>
      <c r="D31" s="289"/>
      <c r="E31" s="289"/>
      <c r="F31" s="289"/>
      <c r="G31" s="289"/>
      <c r="H31" s="289"/>
      <c r="I31" s="289"/>
      <c r="J31" s="289"/>
      <c r="K31" s="289"/>
      <c r="L31" s="74"/>
    </row>
    <row r="32" spans="1:12" ht="19" x14ac:dyDescent="0.25">
      <c r="A32" s="281" t="s">
        <v>255</v>
      </c>
      <c r="B32" s="289"/>
      <c r="C32" s="289"/>
      <c r="D32" s="289"/>
      <c r="E32" s="289"/>
      <c r="F32" s="289"/>
      <c r="G32" s="289"/>
      <c r="H32" s="289"/>
      <c r="I32" s="289"/>
      <c r="J32" s="289"/>
      <c r="K32" s="289"/>
      <c r="L32" s="74"/>
    </row>
    <row r="33" spans="1:12" ht="19" x14ac:dyDescent="0.25">
      <c r="A33" s="283" t="s">
        <v>256</v>
      </c>
      <c r="B33" s="284">
        <v>2376</v>
      </c>
      <c r="C33" s="284">
        <v>2714</v>
      </c>
      <c r="D33" s="284">
        <v>3179</v>
      </c>
      <c r="E33" s="284">
        <v>3704</v>
      </c>
      <c r="F33" s="284">
        <v>4059</v>
      </c>
      <c r="G33" s="284">
        <v>5079</v>
      </c>
      <c r="H33" s="284">
        <v>5915</v>
      </c>
      <c r="I33" s="284">
        <v>6292</v>
      </c>
      <c r="J33" s="284">
        <v>7367</v>
      </c>
      <c r="K33" s="284">
        <v>8099</v>
      </c>
      <c r="L33" s="74"/>
    </row>
    <row r="34" spans="1:12" ht="19" x14ac:dyDescent="0.25">
      <c r="A34" s="281" t="s">
        <v>257</v>
      </c>
      <c r="B34" s="288">
        <v>-26</v>
      </c>
      <c r="C34" s="288">
        <v>-35</v>
      </c>
      <c r="D34" s="288">
        <v>-45</v>
      </c>
      <c r="E34" s="288">
        <v>-45</v>
      </c>
      <c r="F34" s="288">
        <v>-57</v>
      </c>
      <c r="G34" s="288">
        <v>-72</v>
      </c>
      <c r="H34" s="288">
        <v>-71</v>
      </c>
      <c r="I34" s="289"/>
      <c r="J34" s="289"/>
      <c r="K34" s="289"/>
      <c r="L34" s="74"/>
    </row>
    <row r="35" spans="1:12" ht="19" x14ac:dyDescent="0.25">
      <c r="A35" s="283" t="s">
        <v>1</v>
      </c>
      <c r="B35" s="284">
        <v>2350</v>
      </c>
      <c r="C35" s="284">
        <v>2679</v>
      </c>
      <c r="D35" s="284">
        <v>3134</v>
      </c>
      <c r="E35" s="284">
        <v>3659</v>
      </c>
      <c r="F35" s="284">
        <v>4002</v>
      </c>
      <c r="G35" s="284">
        <v>5007</v>
      </c>
      <c r="H35" s="284">
        <v>5844</v>
      </c>
      <c r="I35" s="284">
        <v>6292</v>
      </c>
      <c r="J35" s="284">
        <v>7367</v>
      </c>
      <c r="K35" s="284">
        <v>8099</v>
      </c>
      <c r="L35" s="74"/>
    </row>
    <row r="36" spans="1:12" ht="19" x14ac:dyDescent="0.25">
      <c r="A36" s="283" t="s">
        <v>258</v>
      </c>
      <c r="B36" s="284">
        <v>2350</v>
      </c>
      <c r="C36" s="284">
        <v>2679</v>
      </c>
      <c r="D36" s="284">
        <v>3134</v>
      </c>
      <c r="E36" s="284">
        <v>3659</v>
      </c>
      <c r="F36" s="284">
        <v>4002</v>
      </c>
      <c r="G36" s="284">
        <v>5007</v>
      </c>
      <c r="H36" s="284">
        <v>5844</v>
      </c>
      <c r="I36" s="284">
        <v>6292</v>
      </c>
      <c r="J36" s="284">
        <v>7367</v>
      </c>
      <c r="K36" s="284">
        <v>8099</v>
      </c>
      <c r="L36" s="74"/>
    </row>
    <row r="37" spans="1:12" ht="19" x14ac:dyDescent="0.25">
      <c r="A37" s="285" t="s">
        <v>259</v>
      </c>
      <c r="B37" s="286">
        <v>0.02</v>
      </c>
      <c r="C37" s="286">
        <v>2.1000000000000001E-2</v>
      </c>
      <c r="D37" s="286">
        <v>2.1999999999999999E-2</v>
      </c>
      <c r="E37" s="286">
        <v>2.4E-2</v>
      </c>
      <c r="F37" s="286">
        <v>2.4E-2</v>
      </c>
      <c r="G37" s="286">
        <v>2.5999999999999999E-2</v>
      </c>
      <c r="H37" s="286">
        <v>2.5999999999999999E-2</v>
      </c>
      <c r="I37" s="286">
        <v>2.5999999999999999E-2</v>
      </c>
      <c r="J37" s="286">
        <v>2.9000000000000001E-2</v>
      </c>
      <c r="K37" s="286">
        <v>2.9000000000000001E-2</v>
      </c>
      <c r="L37" s="74"/>
    </row>
    <row r="38" spans="1:12" ht="19" x14ac:dyDescent="0.25">
      <c r="A38" s="283" t="s">
        <v>260</v>
      </c>
      <c r="B38" s="284">
        <v>2350</v>
      </c>
      <c r="C38" s="284">
        <v>2679</v>
      </c>
      <c r="D38" s="284">
        <v>3134</v>
      </c>
      <c r="E38" s="284">
        <v>3659</v>
      </c>
      <c r="F38" s="284">
        <v>4002</v>
      </c>
      <c r="G38" s="284">
        <v>5007</v>
      </c>
      <c r="H38" s="284">
        <v>5844</v>
      </c>
      <c r="I38" s="284">
        <v>6292</v>
      </c>
      <c r="J38" s="284">
        <v>7367</v>
      </c>
      <c r="K38" s="284">
        <v>8099</v>
      </c>
      <c r="L38" s="74"/>
    </row>
    <row r="39" spans="1:12" ht="19" x14ac:dyDescent="0.25">
      <c r="A39" s="285" t="s">
        <v>261</v>
      </c>
      <c r="B39" s="286">
        <v>0.02</v>
      </c>
      <c r="C39" s="286">
        <v>2.1000000000000001E-2</v>
      </c>
      <c r="D39" s="286">
        <v>2.1999999999999999E-2</v>
      </c>
      <c r="E39" s="286">
        <v>2.4E-2</v>
      </c>
      <c r="F39" s="286">
        <v>2.4E-2</v>
      </c>
      <c r="G39" s="286">
        <v>2.5999999999999999E-2</v>
      </c>
      <c r="H39" s="286">
        <v>2.5999999999999999E-2</v>
      </c>
      <c r="I39" s="286">
        <v>2.5999999999999999E-2</v>
      </c>
      <c r="J39" s="286">
        <v>2.9000000000000001E-2</v>
      </c>
      <c r="K39" s="286">
        <v>2.9000000000000001E-2</v>
      </c>
      <c r="L39" s="74"/>
    </row>
    <row r="40" spans="1:12" ht="19" x14ac:dyDescent="0.25">
      <c r="A40" s="285" t="s">
        <v>262</v>
      </c>
      <c r="B40"/>
      <c r="C40"/>
      <c r="D40"/>
      <c r="E40"/>
      <c r="F40"/>
      <c r="G40"/>
      <c r="H40"/>
      <c r="I40"/>
      <c r="J40"/>
      <c r="K40"/>
      <c r="L40" s="74"/>
    </row>
    <row r="41" spans="1:12" ht="19" x14ac:dyDescent="0.25">
      <c r="A41" s="281" t="s">
        <v>263</v>
      </c>
      <c r="B41" s="291">
        <v>5.33</v>
      </c>
      <c r="C41" s="291">
        <v>6.08</v>
      </c>
      <c r="D41" s="291">
        <v>7.09</v>
      </c>
      <c r="E41" s="291">
        <v>8.26</v>
      </c>
      <c r="F41" s="291">
        <v>9.02</v>
      </c>
      <c r="G41" s="291">
        <v>11.27</v>
      </c>
      <c r="H41" s="291">
        <v>13.14</v>
      </c>
      <c r="I41" s="291">
        <v>14.16</v>
      </c>
      <c r="J41" s="291">
        <v>16.559999999999999</v>
      </c>
      <c r="K41" s="291">
        <v>18.21</v>
      </c>
      <c r="L41" s="74"/>
    </row>
    <row r="42" spans="1:12" ht="19" x14ac:dyDescent="0.25">
      <c r="A42" s="292" t="s">
        <v>231</v>
      </c>
      <c r="B42" s="294">
        <v>-7.0000000000000001E-3</v>
      </c>
      <c r="C42" s="293">
        <v>0.14099999999999999</v>
      </c>
      <c r="D42" s="293">
        <v>0.16600000000000001</v>
      </c>
      <c r="E42" s="293">
        <v>0.16500000000000001</v>
      </c>
      <c r="F42" s="293">
        <v>9.1999999999999998E-2</v>
      </c>
      <c r="G42" s="293">
        <v>0.249</v>
      </c>
      <c r="H42" s="293">
        <v>0.16600000000000001</v>
      </c>
      <c r="I42" s="293">
        <v>7.8E-2</v>
      </c>
      <c r="J42" s="293">
        <v>0.16900000000000001</v>
      </c>
      <c r="K42" s="293">
        <v>0.1</v>
      </c>
      <c r="L42" s="74"/>
    </row>
    <row r="43" spans="1:12" ht="19" x14ac:dyDescent="0.25">
      <c r="A43" s="281" t="s">
        <v>264</v>
      </c>
      <c r="B43" s="291">
        <v>441.26</v>
      </c>
      <c r="C43" s="291">
        <v>440.94</v>
      </c>
      <c r="D43" s="291">
        <v>441.83</v>
      </c>
      <c r="E43" s="291">
        <v>442.92</v>
      </c>
      <c r="F43" s="291">
        <v>443.9</v>
      </c>
      <c r="G43" s="291">
        <v>444.35</v>
      </c>
      <c r="H43" s="291">
        <v>444.76</v>
      </c>
      <c r="I43" s="291">
        <v>444.45</v>
      </c>
      <c r="J43" s="291">
        <v>444.76</v>
      </c>
      <c r="K43" s="291">
        <v>444.8</v>
      </c>
      <c r="L43" s="74"/>
    </row>
    <row r="44" spans="1:12" ht="19" x14ac:dyDescent="0.25">
      <c r="A44" s="292" t="s">
        <v>231</v>
      </c>
      <c r="B44" s="294">
        <v>-3.0000000000000001E-3</v>
      </c>
      <c r="C44" s="294">
        <v>-1E-3</v>
      </c>
      <c r="D44" s="293">
        <v>2E-3</v>
      </c>
      <c r="E44" s="293">
        <v>2E-3</v>
      </c>
      <c r="F44" s="293">
        <v>2E-3</v>
      </c>
      <c r="G44" s="293">
        <v>1E-3</v>
      </c>
      <c r="H44" s="293">
        <v>1E-3</v>
      </c>
      <c r="I44" s="294">
        <v>-1E-3</v>
      </c>
      <c r="J44" s="293">
        <v>1E-3</v>
      </c>
      <c r="K44" s="293">
        <v>0</v>
      </c>
      <c r="L44" s="74"/>
    </row>
    <row r="45" spans="1:12" ht="19" x14ac:dyDescent="0.25">
      <c r="A45" s="281" t="s">
        <v>265</v>
      </c>
      <c r="B45" s="291">
        <v>438.59</v>
      </c>
      <c r="C45" s="291">
        <v>438.44</v>
      </c>
      <c r="D45" s="291">
        <v>438.52</v>
      </c>
      <c r="E45" s="291">
        <v>439.76</v>
      </c>
      <c r="F45" s="291">
        <v>442.3</v>
      </c>
      <c r="G45" s="291">
        <v>443.09</v>
      </c>
      <c r="H45" s="291">
        <v>443.65</v>
      </c>
      <c r="I45" s="291">
        <v>443.85</v>
      </c>
      <c r="J45" s="291">
        <v>443.91</v>
      </c>
      <c r="K45" s="291">
        <v>443.99</v>
      </c>
      <c r="L45" s="74"/>
    </row>
    <row r="46" spans="1:12" ht="19" x14ac:dyDescent="0.25">
      <c r="A46" s="292" t="s">
        <v>231</v>
      </c>
      <c r="B46" s="294">
        <v>-2E-3</v>
      </c>
      <c r="C46" s="294">
        <v>0</v>
      </c>
      <c r="D46" s="293">
        <v>0</v>
      </c>
      <c r="E46" s="293">
        <v>3.0000000000000001E-3</v>
      </c>
      <c r="F46" s="293">
        <v>6.0000000000000001E-3</v>
      </c>
      <c r="G46" s="293">
        <v>2E-3</v>
      </c>
      <c r="H46" s="293">
        <v>1E-3</v>
      </c>
      <c r="I46" s="293">
        <v>0</v>
      </c>
      <c r="J46" s="293">
        <v>0</v>
      </c>
      <c r="K46" s="293">
        <v>0</v>
      </c>
      <c r="L46" s="74"/>
    </row>
    <row r="47" spans="1:12" ht="19" x14ac:dyDescent="0.25">
      <c r="A47" s="281" t="s">
        <v>266</v>
      </c>
      <c r="B47" s="291">
        <v>1.7</v>
      </c>
      <c r="C47" s="291">
        <v>1.9</v>
      </c>
      <c r="D47" s="291">
        <v>2.14</v>
      </c>
      <c r="E47" s="291">
        <v>2.44</v>
      </c>
      <c r="F47" s="291">
        <v>2.7</v>
      </c>
      <c r="G47" s="291">
        <v>2.98</v>
      </c>
      <c r="H47" s="291">
        <v>3.38</v>
      </c>
      <c r="I47" s="291">
        <v>3.84</v>
      </c>
      <c r="J47" s="291">
        <v>4.3600000000000003</v>
      </c>
      <c r="K47" s="291">
        <v>4.92</v>
      </c>
      <c r="L47" s="74"/>
    </row>
    <row r="48" spans="1:12" ht="19" x14ac:dyDescent="0.25">
      <c r="A48" s="292" t="s">
        <v>231</v>
      </c>
      <c r="B48" s="293">
        <v>0.126</v>
      </c>
      <c r="C48" s="293">
        <v>0.11799999999999999</v>
      </c>
      <c r="D48" s="293">
        <v>0.126</v>
      </c>
      <c r="E48" s="293">
        <v>0.14000000000000001</v>
      </c>
      <c r="F48" s="293">
        <v>0.107</v>
      </c>
      <c r="G48" s="293">
        <v>0.104</v>
      </c>
      <c r="H48" s="293">
        <v>0.13400000000000001</v>
      </c>
      <c r="I48" s="293">
        <v>0.13600000000000001</v>
      </c>
      <c r="J48" s="293">
        <v>0.13500000000000001</v>
      </c>
      <c r="K48" s="293">
        <v>0.128</v>
      </c>
      <c r="L48" s="74"/>
    </row>
    <row r="49" spans="1:12" ht="19" x14ac:dyDescent="0.25">
      <c r="A49" s="281" t="s">
        <v>267</v>
      </c>
      <c r="B49" s="289"/>
      <c r="C49" s="291">
        <v>7</v>
      </c>
      <c r="D49" s="289"/>
      <c r="E49" s="289"/>
      <c r="F49" s="289"/>
      <c r="G49" s="291">
        <v>10</v>
      </c>
      <c r="H49" s="289"/>
      <c r="I49" s="289"/>
      <c r="J49" s="291">
        <v>15</v>
      </c>
      <c r="K49" s="289"/>
      <c r="L49" s="74"/>
    </row>
    <row r="50" spans="1:12" ht="19" x14ac:dyDescent="0.25">
      <c r="A50" s="281" t="s">
        <v>268</v>
      </c>
      <c r="B50" s="295">
        <v>0.317</v>
      </c>
      <c r="C50" s="295">
        <v>0.3</v>
      </c>
      <c r="D50" s="295">
        <v>0.22</v>
      </c>
      <c r="E50" s="295">
        <v>0.28399999999999997</v>
      </c>
      <c r="F50" s="295">
        <v>0.37</v>
      </c>
      <c r="G50" s="295">
        <v>1.1479999999999999</v>
      </c>
      <c r="H50" s="295">
        <v>0.25600000000000001</v>
      </c>
      <c r="I50" s="295">
        <v>0.19900000000000001</v>
      </c>
      <c r="J50" s="295">
        <v>0.32400000000000001</v>
      </c>
      <c r="K50" s="295">
        <v>0.27</v>
      </c>
      <c r="L50" s="74"/>
    </row>
    <row r="51" spans="1:12" ht="19" x14ac:dyDescent="0.25">
      <c r="A51" s="281" t="s">
        <v>269</v>
      </c>
      <c r="B51" s="291">
        <v>5.36</v>
      </c>
      <c r="C51" s="291">
        <v>6.11</v>
      </c>
      <c r="D51" s="291">
        <v>7.15</v>
      </c>
      <c r="E51" s="291">
        <v>8.32</v>
      </c>
      <c r="F51" s="291">
        <v>9.0500000000000007</v>
      </c>
      <c r="G51" s="291">
        <v>11.3</v>
      </c>
      <c r="H51" s="291">
        <v>13.17</v>
      </c>
      <c r="I51" s="291">
        <v>14.18</v>
      </c>
      <c r="J51" s="291">
        <v>16.600000000000001</v>
      </c>
      <c r="K51" s="291">
        <v>18.239999999999998</v>
      </c>
      <c r="L51" s="74"/>
    </row>
    <row r="52" spans="1:12" ht="19" x14ac:dyDescent="0.25">
      <c r="A52" s="281" t="s">
        <v>270</v>
      </c>
      <c r="B52" s="282">
        <v>4927</v>
      </c>
      <c r="C52" s="282">
        <v>5481</v>
      </c>
      <c r="D52" s="282">
        <v>5917</v>
      </c>
      <c r="E52" s="282">
        <v>6229</v>
      </c>
      <c r="F52" s="282">
        <v>7080</v>
      </c>
      <c r="G52" s="282">
        <v>8573</v>
      </c>
      <c r="H52" s="282">
        <v>9811</v>
      </c>
      <c r="I52" s="282">
        <v>10582</v>
      </c>
      <c r="J52" s="282">
        <v>11522</v>
      </c>
      <c r="K52" s="282">
        <v>12809</v>
      </c>
      <c r="L52" s="74"/>
    </row>
    <row r="53" spans="1:12" ht="19" x14ac:dyDescent="0.25">
      <c r="A53" s="292" t="s">
        <v>231</v>
      </c>
      <c r="B53" s="293">
        <v>3.6999999999999998E-2</v>
      </c>
      <c r="C53" s="293">
        <v>0.112</v>
      </c>
      <c r="D53" s="293">
        <v>0.08</v>
      </c>
      <c r="E53" s="293">
        <v>5.2999999999999999E-2</v>
      </c>
      <c r="F53" s="293">
        <v>0.13700000000000001</v>
      </c>
      <c r="G53" s="293">
        <v>0.21099999999999999</v>
      </c>
      <c r="H53" s="293">
        <v>0.14399999999999999</v>
      </c>
      <c r="I53" s="293">
        <v>7.9000000000000001E-2</v>
      </c>
      <c r="J53" s="293">
        <v>8.8999999999999996E-2</v>
      </c>
      <c r="K53" s="293">
        <v>0.112</v>
      </c>
      <c r="L53" s="74"/>
    </row>
    <row r="54" spans="1:12" ht="19" x14ac:dyDescent="0.25">
      <c r="A54" s="281" t="s">
        <v>271</v>
      </c>
      <c r="B54" s="282">
        <v>5177</v>
      </c>
      <c r="C54" s="282">
        <v>5739</v>
      </c>
      <c r="D54" s="289"/>
      <c r="E54" s="289"/>
      <c r="F54" s="282">
        <v>7419</v>
      </c>
      <c r="G54" s="282">
        <v>9020</v>
      </c>
      <c r="H54" s="282">
        <v>10265</v>
      </c>
      <c r="I54" s="282">
        <v>11051</v>
      </c>
      <c r="J54" s="282">
        <v>11969</v>
      </c>
      <c r="K54" s="282">
        <v>13262</v>
      </c>
      <c r="L54" s="74"/>
    </row>
    <row r="55" spans="1:12" ht="19" x14ac:dyDescent="0.25">
      <c r="A55" s="281" t="s">
        <v>272</v>
      </c>
      <c r="B55" s="295">
        <v>0.34300000000000003</v>
      </c>
      <c r="C55" s="295">
        <v>0.32800000000000001</v>
      </c>
      <c r="D55" s="295">
        <v>0.28399999999999997</v>
      </c>
      <c r="E55" s="295">
        <v>0.223</v>
      </c>
      <c r="F55" s="295">
        <v>0.24399999999999999</v>
      </c>
      <c r="G55" s="295">
        <v>0.24</v>
      </c>
      <c r="H55" s="295">
        <v>0.246</v>
      </c>
      <c r="I55" s="295">
        <v>0.25900000000000001</v>
      </c>
      <c r="J55" s="295">
        <v>0.24399999999999999</v>
      </c>
      <c r="K55" s="295">
        <v>0.251</v>
      </c>
      <c r="L55" s="74"/>
    </row>
    <row r="56" spans="1:12" ht="19" x14ac:dyDescent="0.25">
      <c r="A56" s="281" t="s">
        <v>273</v>
      </c>
      <c r="B56" s="295">
        <v>0.04</v>
      </c>
      <c r="C56" s="295">
        <v>0.04</v>
      </c>
      <c r="D56" s="295">
        <v>7.0000000000000007E-2</v>
      </c>
      <c r="E56" s="295">
        <v>0.06</v>
      </c>
      <c r="F56" s="295">
        <v>0.09</v>
      </c>
      <c r="G56" s="295">
        <v>0.13</v>
      </c>
      <c r="H56" s="295">
        <v>0.11</v>
      </c>
      <c r="I56" s="295">
        <v>0.05</v>
      </c>
      <c r="J56" s="295">
        <v>0.06</v>
      </c>
      <c r="K56" s="295">
        <v>0.08</v>
      </c>
      <c r="L56" s="74"/>
    </row>
    <row r="57" spans="1:12" ht="19" x14ac:dyDescent="0.25">
      <c r="A57" s="285" t="s">
        <v>274</v>
      </c>
      <c r="B57"/>
      <c r="C57"/>
      <c r="D57"/>
      <c r="E57"/>
      <c r="F57"/>
      <c r="G57"/>
      <c r="H57"/>
      <c r="I57"/>
      <c r="J57"/>
      <c r="K57"/>
      <c r="L57" s="74"/>
    </row>
    <row r="58" spans="1:12" ht="19" x14ac:dyDescent="0.25">
      <c r="A58" s="281" t="s">
        <v>275</v>
      </c>
      <c r="B58" s="282">
        <v>71812.820000000007</v>
      </c>
      <c r="C58" s="282">
        <v>69402.48</v>
      </c>
      <c r="D58" s="282">
        <v>102237.19</v>
      </c>
      <c r="E58" s="282">
        <v>129632.26</v>
      </c>
      <c r="F58" s="282">
        <v>153813.62</v>
      </c>
      <c r="G58" s="282">
        <v>199081.39</v>
      </c>
      <c r="H58" s="282">
        <v>235576.56</v>
      </c>
      <c r="I58" s="282">
        <v>241183.56</v>
      </c>
      <c r="J58" s="282">
        <v>395623.31</v>
      </c>
      <c r="K58" s="282">
        <v>418340.8</v>
      </c>
      <c r="L58" s="74"/>
    </row>
    <row r="59" spans="1:12" ht="19" x14ac:dyDescent="0.25">
      <c r="A59" s="281" t="s">
        <v>276</v>
      </c>
      <c r="B59" s="296">
        <v>163.93</v>
      </c>
      <c r="C59" s="296">
        <v>158.24</v>
      </c>
      <c r="D59" s="296">
        <v>233.13</v>
      </c>
      <c r="E59" s="296">
        <v>294.76</v>
      </c>
      <c r="F59" s="296">
        <v>348.37</v>
      </c>
      <c r="G59" s="296">
        <v>450.34</v>
      </c>
      <c r="H59" s="296">
        <v>531.82000000000005</v>
      </c>
      <c r="I59" s="296">
        <v>544.25</v>
      </c>
      <c r="J59" s="296">
        <v>892.38</v>
      </c>
      <c r="K59" s="296">
        <v>943.32</v>
      </c>
      <c r="L59" s="74"/>
    </row>
    <row r="60" spans="1:12" ht="19" x14ac:dyDescent="0.25">
      <c r="A60" s="281" t="s">
        <v>277</v>
      </c>
      <c r="B60" s="282">
        <v>71148.820000000007</v>
      </c>
      <c r="C60" s="282">
        <v>67943.48</v>
      </c>
      <c r="D60" s="282">
        <v>101989.19</v>
      </c>
      <c r="E60" s="282">
        <v>128297.26</v>
      </c>
      <c r="F60" s="282">
        <v>154951.62</v>
      </c>
      <c r="G60" s="282">
        <v>198675.39</v>
      </c>
      <c r="H60" s="282">
        <v>233326.56</v>
      </c>
      <c r="I60" s="282">
        <v>236484.56</v>
      </c>
      <c r="J60" s="282">
        <v>393421.31</v>
      </c>
      <c r="K60" s="282">
        <v>411848.8</v>
      </c>
      <c r="L60" s="74"/>
    </row>
    <row r="61" spans="1:12" ht="16" x14ac:dyDescent="0.2">
      <c r="A61" s="297" t="s">
        <v>278</v>
      </c>
      <c r="B61"/>
      <c r="C61"/>
      <c r="D61"/>
      <c r="E61"/>
      <c r="F61"/>
      <c r="G61"/>
      <c r="H61"/>
      <c r="I61"/>
      <c r="J61"/>
      <c r="K61"/>
      <c r="L61" s="74"/>
    </row>
    <row r="62" spans="1:12" ht="16" x14ac:dyDescent="0.2">
      <c r="A62" s="297" t="s">
        <v>279</v>
      </c>
      <c r="B62"/>
      <c r="C62"/>
      <c r="D62"/>
      <c r="E62"/>
      <c r="F62"/>
      <c r="G62"/>
      <c r="H62"/>
      <c r="I62"/>
      <c r="J62"/>
      <c r="K62"/>
      <c r="L62" s="74"/>
    </row>
    <row r="63" spans="1:12" x14ac:dyDescent="0.2">
      <c r="A63" s="298" t="s">
        <v>280</v>
      </c>
      <c r="B63"/>
      <c r="C63"/>
      <c r="D63"/>
      <c r="E63"/>
      <c r="F63"/>
      <c r="G63"/>
      <c r="H63"/>
      <c r="I63"/>
      <c r="J63"/>
      <c r="K63"/>
      <c r="L63" s="74"/>
    </row>
    <row r="64" spans="1:12" x14ac:dyDescent="0.2">
      <c r="A64" s="298" t="s">
        <v>281</v>
      </c>
      <c r="B64"/>
      <c r="C64"/>
      <c r="D64"/>
      <c r="E64"/>
      <c r="F64"/>
      <c r="G64"/>
      <c r="H64"/>
      <c r="I64"/>
      <c r="J64"/>
      <c r="K64" s="74"/>
      <c r="L64" s="74"/>
    </row>
    <row r="66" spans="2:12" x14ac:dyDescent="0.2">
      <c r="B66" s="74"/>
      <c r="C66" s="74"/>
      <c r="D66" s="74"/>
      <c r="E66" s="74"/>
      <c r="F66" s="74"/>
      <c r="G66" s="74"/>
      <c r="H66" s="74"/>
      <c r="I66" s="74"/>
      <c r="J66" s="74"/>
      <c r="K66" s="74"/>
      <c r="L66" s="74"/>
    </row>
    <row r="67" spans="2:12" x14ac:dyDescent="0.2">
      <c r="B67" s="74"/>
      <c r="C67" s="74"/>
      <c r="D67" s="74"/>
      <c r="E67" s="74"/>
      <c r="F67" s="74"/>
      <c r="G67" s="74"/>
      <c r="H67" s="74"/>
      <c r="I67" s="74"/>
      <c r="J67" s="74"/>
      <c r="K67" s="74"/>
      <c r="L67" s="74"/>
    </row>
    <row r="68" spans="2:12" x14ac:dyDescent="0.2">
      <c r="B68" s="74"/>
      <c r="C68" s="74"/>
      <c r="D68" s="74"/>
      <c r="E68" s="74"/>
      <c r="F68" s="74"/>
      <c r="G68" s="74"/>
      <c r="H68" s="74"/>
      <c r="I68" s="74"/>
      <c r="J68" s="74"/>
      <c r="K68" s="74"/>
    </row>
  </sheetData>
  <mergeCells count="1">
    <mergeCell ref="A1:J1"/>
  </mergeCells>
  <hyperlinks>
    <hyperlink ref="A63" r:id="rId1" display="https://app.tikr.com/terms" xr:uid="{34458C14-EFB8-124D-8620-1366FF49A9EE}"/>
    <hyperlink ref="A64" r:id="rId2" display="https://app.tikr.com/privacypolicy" xr:uid="{078CFCFA-7DE6-8749-8DE1-0BC0C515B3F2}"/>
  </hyperlinks>
  <pageMargins left="0.7" right="0.7" top="0.75" bottom="0.75" header="0.3" footer="0.3"/>
  <pageSetup paperSize="9" orientation="portrait" horizontalDpi="1200" verticalDpi="12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9"/>
  <sheetViews>
    <sheetView showGridLines="0" workbookViewId="0">
      <pane xSplit="1" ySplit="2" topLeftCell="B3" activePane="bottomRight" state="frozen"/>
      <selection pane="topRight" activeCell="B1" sqref="B1"/>
      <selection pane="bottomLeft" activeCell="A3" sqref="A3"/>
      <selection pane="bottomRight" activeCell="B5" sqref="B5"/>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317"/>
      <c r="B1" s="317"/>
      <c r="C1" s="317"/>
      <c r="D1" s="317"/>
      <c r="E1" s="317"/>
      <c r="F1" s="317"/>
      <c r="G1" s="317"/>
      <c r="H1" s="317"/>
      <c r="I1" s="317"/>
      <c r="J1" s="317"/>
      <c r="K1" s="76"/>
      <c r="L1" s="76"/>
    </row>
    <row r="2" spans="1:12" ht="19" x14ac:dyDescent="0.25">
      <c r="A2" s="279" t="s">
        <v>283</v>
      </c>
      <c r="B2" s="279" t="s">
        <v>282</v>
      </c>
      <c r="C2" s="280">
        <v>42803</v>
      </c>
      <c r="D2" s="280">
        <v>43140</v>
      </c>
      <c r="E2" s="280">
        <v>43474</v>
      </c>
      <c r="F2" s="279" t="s">
        <v>225</v>
      </c>
      <c r="G2" s="279" t="s">
        <v>226</v>
      </c>
      <c r="H2" s="279" t="s">
        <v>227</v>
      </c>
      <c r="I2" s="280">
        <v>44994</v>
      </c>
      <c r="J2" s="280">
        <v>45300</v>
      </c>
      <c r="K2" s="279" t="s">
        <v>228</v>
      </c>
      <c r="L2" s="77"/>
    </row>
    <row r="3" spans="1:12" x14ac:dyDescent="0.2">
      <c r="B3"/>
      <c r="C3"/>
      <c r="D3"/>
      <c r="E3"/>
      <c r="F3"/>
      <c r="G3"/>
      <c r="H3"/>
      <c r="I3"/>
      <c r="J3"/>
      <c r="K3"/>
    </row>
    <row r="4" spans="1:12" ht="19" x14ac:dyDescent="0.25">
      <c r="A4" s="281" t="s">
        <v>284</v>
      </c>
      <c r="B4" s="282">
        <v>3379</v>
      </c>
      <c r="C4" s="282">
        <v>4546</v>
      </c>
      <c r="D4" s="282">
        <v>6055</v>
      </c>
      <c r="E4" s="282">
        <v>8384</v>
      </c>
      <c r="F4" s="282">
        <v>12277</v>
      </c>
      <c r="G4" s="282">
        <v>11258</v>
      </c>
      <c r="H4" s="282">
        <v>10203</v>
      </c>
      <c r="I4" s="282">
        <v>13700</v>
      </c>
      <c r="J4" s="282">
        <v>9906</v>
      </c>
      <c r="K4" s="282">
        <v>14161</v>
      </c>
      <c r="L4" s="74"/>
    </row>
    <row r="5" spans="1:12" ht="19" x14ac:dyDescent="0.25">
      <c r="A5" s="281" t="s">
        <v>285</v>
      </c>
      <c r="B5" s="282">
        <v>1350</v>
      </c>
      <c r="C5" s="282">
        <v>1233</v>
      </c>
      <c r="D5" s="282">
        <v>1204</v>
      </c>
      <c r="E5" s="282">
        <v>1060</v>
      </c>
      <c r="F5" s="282">
        <v>1028</v>
      </c>
      <c r="G5" s="291">
        <v>917</v>
      </c>
      <c r="H5" s="291">
        <v>846</v>
      </c>
      <c r="I5" s="282">
        <v>1534</v>
      </c>
      <c r="J5" s="282">
        <v>1238</v>
      </c>
      <c r="K5" s="282">
        <v>1123</v>
      </c>
      <c r="L5" s="74"/>
    </row>
    <row r="6" spans="1:12" ht="19" x14ac:dyDescent="0.25">
      <c r="A6" s="281" t="s">
        <v>286</v>
      </c>
      <c r="B6" s="289"/>
      <c r="C6" s="289"/>
      <c r="D6" s="289"/>
      <c r="E6" s="289"/>
      <c r="F6" s="289"/>
      <c r="G6" s="289"/>
      <c r="H6" s="289"/>
      <c r="I6" s="289"/>
      <c r="J6" s="289"/>
      <c r="K6" s="289"/>
      <c r="L6" s="74"/>
    </row>
    <row r="7" spans="1:12" ht="19" x14ac:dyDescent="0.25">
      <c r="A7" s="283" t="s">
        <v>287</v>
      </c>
      <c r="B7" s="284">
        <v>4729</v>
      </c>
      <c r="C7" s="284">
        <v>5779</v>
      </c>
      <c r="D7" s="284">
        <v>7259</v>
      </c>
      <c r="E7" s="284">
        <v>9444</v>
      </c>
      <c r="F7" s="284">
        <v>13305</v>
      </c>
      <c r="G7" s="284">
        <v>12175</v>
      </c>
      <c r="H7" s="284">
        <v>11049</v>
      </c>
      <c r="I7" s="284">
        <v>15234</v>
      </c>
      <c r="J7" s="284">
        <v>11144</v>
      </c>
      <c r="K7" s="284">
        <v>15284</v>
      </c>
      <c r="L7" s="74"/>
    </row>
    <row r="8" spans="1:12" ht="19" x14ac:dyDescent="0.25">
      <c r="A8" s="281" t="s">
        <v>288</v>
      </c>
      <c r="B8" s="282">
        <v>1252</v>
      </c>
      <c r="C8" s="282">
        <v>1432</v>
      </c>
      <c r="D8" s="282">
        <v>1669</v>
      </c>
      <c r="E8" s="282">
        <v>1535</v>
      </c>
      <c r="F8" s="282">
        <v>1550</v>
      </c>
      <c r="G8" s="282">
        <v>1803</v>
      </c>
      <c r="H8" s="282">
        <v>2241</v>
      </c>
      <c r="I8" s="282">
        <v>2285</v>
      </c>
      <c r="J8" s="282">
        <v>2721</v>
      </c>
      <c r="K8" s="282">
        <v>3203</v>
      </c>
      <c r="L8" s="74"/>
    </row>
    <row r="9" spans="1:12" ht="19" x14ac:dyDescent="0.25">
      <c r="A9" s="281" t="s">
        <v>289</v>
      </c>
      <c r="B9" s="289"/>
      <c r="C9" s="289"/>
      <c r="D9" s="289"/>
      <c r="E9" s="289"/>
      <c r="F9" s="289"/>
      <c r="G9" s="289"/>
      <c r="H9" s="289"/>
      <c r="I9" s="289"/>
      <c r="J9" s="289"/>
      <c r="K9" s="289"/>
      <c r="L9" s="74"/>
    </row>
    <row r="10" spans="1:12" ht="19" x14ac:dyDescent="0.25">
      <c r="A10" s="283" t="s">
        <v>290</v>
      </c>
      <c r="B10" s="284">
        <v>1252</v>
      </c>
      <c r="C10" s="284">
        <v>1432</v>
      </c>
      <c r="D10" s="284">
        <v>1669</v>
      </c>
      <c r="E10" s="284">
        <v>1535</v>
      </c>
      <c r="F10" s="284">
        <v>1550</v>
      </c>
      <c r="G10" s="284">
        <v>1803</v>
      </c>
      <c r="H10" s="284">
        <v>2241</v>
      </c>
      <c r="I10" s="284">
        <v>2285</v>
      </c>
      <c r="J10" s="284">
        <v>2721</v>
      </c>
      <c r="K10" s="284">
        <v>3203</v>
      </c>
      <c r="L10" s="74"/>
    </row>
    <row r="11" spans="1:12" ht="19" x14ac:dyDescent="0.25">
      <c r="A11" s="281" t="s">
        <v>291</v>
      </c>
      <c r="B11" s="282">
        <v>8969</v>
      </c>
      <c r="C11" s="282">
        <v>9834</v>
      </c>
      <c r="D11" s="282">
        <v>11040</v>
      </c>
      <c r="E11" s="282">
        <v>11395</v>
      </c>
      <c r="F11" s="282">
        <v>12242</v>
      </c>
      <c r="G11" s="282">
        <v>14215</v>
      </c>
      <c r="H11" s="282">
        <v>17907</v>
      </c>
      <c r="I11" s="282">
        <v>16651</v>
      </c>
      <c r="J11" s="282">
        <v>18647</v>
      </c>
      <c r="K11" s="282">
        <v>18116</v>
      </c>
      <c r="L11" s="74"/>
    </row>
    <row r="12" spans="1:12" ht="19" x14ac:dyDescent="0.25">
      <c r="A12" s="281" t="s">
        <v>292</v>
      </c>
      <c r="B12" s="289"/>
      <c r="C12" s="289"/>
      <c r="D12" s="289"/>
      <c r="E12" s="289"/>
      <c r="F12" s="289"/>
      <c r="G12" s="289"/>
      <c r="H12" s="289"/>
      <c r="I12" s="289"/>
      <c r="J12" s="289"/>
      <c r="K12" s="289"/>
      <c r="L12" s="74"/>
    </row>
    <row r="13" spans="1:12" ht="19" x14ac:dyDescent="0.25">
      <c r="A13" s="281" t="s">
        <v>293</v>
      </c>
      <c r="B13" s="291">
        <v>268</v>
      </c>
      <c r="C13" s="291">
        <v>272</v>
      </c>
      <c r="D13" s="291">
        <v>321</v>
      </c>
      <c r="E13" s="282">
        <v>1111</v>
      </c>
      <c r="F13" s="282">
        <v>1023</v>
      </c>
      <c r="G13" s="282">
        <v>1312</v>
      </c>
      <c r="H13" s="282">
        <v>1499</v>
      </c>
      <c r="I13" s="282">
        <v>1709</v>
      </c>
      <c r="J13" s="282">
        <v>1734</v>
      </c>
      <c r="K13" s="282">
        <v>1777</v>
      </c>
      <c r="L13" s="74"/>
    </row>
    <row r="14" spans="1:12" ht="19" x14ac:dyDescent="0.25">
      <c r="A14" s="283" t="s">
        <v>294</v>
      </c>
      <c r="B14" s="284">
        <v>15218</v>
      </c>
      <c r="C14" s="284">
        <v>17317</v>
      </c>
      <c r="D14" s="284">
        <v>20289</v>
      </c>
      <c r="E14" s="284">
        <v>23485</v>
      </c>
      <c r="F14" s="284">
        <v>28120</v>
      </c>
      <c r="G14" s="284">
        <v>29505</v>
      </c>
      <c r="H14" s="284">
        <v>32696</v>
      </c>
      <c r="I14" s="284">
        <v>35879</v>
      </c>
      <c r="J14" s="284">
        <v>34246</v>
      </c>
      <c r="K14" s="284">
        <v>38380</v>
      </c>
      <c r="L14" s="74"/>
    </row>
    <row r="15" spans="1:12" ht="19" x14ac:dyDescent="0.25">
      <c r="A15" s="281" t="s">
        <v>295</v>
      </c>
      <c r="B15" s="282">
        <v>26167</v>
      </c>
      <c r="C15" s="282">
        <v>28341</v>
      </c>
      <c r="D15" s="282">
        <v>30714</v>
      </c>
      <c r="E15" s="282">
        <v>32626</v>
      </c>
      <c r="F15" s="282">
        <v>38083</v>
      </c>
      <c r="G15" s="282">
        <v>41548</v>
      </c>
      <c r="H15" s="282">
        <v>44326</v>
      </c>
      <c r="I15" s="282">
        <v>47407</v>
      </c>
      <c r="J15" s="282">
        <v>51000</v>
      </c>
      <c r="K15" s="282">
        <v>55053</v>
      </c>
      <c r="L15" s="74"/>
    </row>
    <row r="16" spans="1:12" ht="19" x14ac:dyDescent="0.25">
      <c r="A16" s="281" t="s">
        <v>296</v>
      </c>
      <c r="B16" s="287">
        <v>-9124</v>
      </c>
      <c r="C16" s="287">
        <v>-10180</v>
      </c>
      <c r="D16" s="287">
        <v>-11033</v>
      </c>
      <c r="E16" s="287">
        <v>-11736</v>
      </c>
      <c r="F16" s="287">
        <v>-12896</v>
      </c>
      <c r="G16" s="287">
        <v>-14166</v>
      </c>
      <c r="H16" s="287">
        <v>-15286</v>
      </c>
      <c r="I16" s="287">
        <v>-16685</v>
      </c>
      <c r="J16" s="287">
        <v>-17918</v>
      </c>
      <c r="K16" s="287">
        <v>-18931</v>
      </c>
      <c r="L16" s="74"/>
    </row>
    <row r="17" spans="1:12" ht="19" x14ac:dyDescent="0.25">
      <c r="A17" s="283" t="s">
        <v>297</v>
      </c>
      <c r="B17" s="284">
        <v>17043</v>
      </c>
      <c r="C17" s="284">
        <v>18161</v>
      </c>
      <c r="D17" s="284">
        <v>19681</v>
      </c>
      <c r="E17" s="284">
        <v>20890</v>
      </c>
      <c r="F17" s="284">
        <v>25187</v>
      </c>
      <c r="G17" s="284">
        <v>27382</v>
      </c>
      <c r="H17" s="284">
        <v>29040</v>
      </c>
      <c r="I17" s="284">
        <v>30722</v>
      </c>
      <c r="J17" s="284">
        <v>33082</v>
      </c>
      <c r="K17" s="284">
        <v>36122</v>
      </c>
      <c r="L17" s="74"/>
    </row>
    <row r="18" spans="1:12" ht="19" x14ac:dyDescent="0.25">
      <c r="A18" s="281" t="s">
        <v>298</v>
      </c>
      <c r="B18" s="289"/>
      <c r="C18" s="289"/>
      <c r="D18" s="289"/>
      <c r="E18" s="289"/>
      <c r="F18" s="289"/>
      <c r="G18" s="289"/>
      <c r="H18" s="289"/>
      <c r="I18" s="289"/>
      <c r="J18" s="289"/>
      <c r="K18" s="289"/>
      <c r="L18" s="74"/>
    </row>
    <row r="19" spans="1:12" ht="19" x14ac:dyDescent="0.25">
      <c r="A19" s="281" t="s">
        <v>299</v>
      </c>
      <c r="B19" s="289"/>
      <c r="C19" s="289"/>
      <c r="D19" s="289"/>
      <c r="E19" s="291">
        <v>53</v>
      </c>
      <c r="F19" s="291">
        <v>988</v>
      </c>
      <c r="G19" s="291">
        <v>996</v>
      </c>
      <c r="H19" s="291">
        <v>993</v>
      </c>
      <c r="I19" s="291">
        <v>994</v>
      </c>
      <c r="J19" s="291">
        <v>26</v>
      </c>
      <c r="K19" s="291">
        <v>953</v>
      </c>
      <c r="L19" s="74"/>
    </row>
    <row r="20" spans="1:12" ht="19" x14ac:dyDescent="0.25">
      <c r="A20" s="281" t="s">
        <v>300</v>
      </c>
      <c r="B20" s="289"/>
      <c r="C20" s="289"/>
      <c r="D20" s="289"/>
      <c r="E20" s="289"/>
      <c r="F20" s="289"/>
      <c r="G20" s="289"/>
      <c r="H20" s="289"/>
      <c r="I20" s="289"/>
      <c r="J20" s="289"/>
      <c r="K20" s="289"/>
      <c r="L20" s="74"/>
    </row>
    <row r="21" spans="1:12" ht="19" x14ac:dyDescent="0.25">
      <c r="A21" s="281" t="s">
        <v>301</v>
      </c>
      <c r="B21" s="291">
        <v>202</v>
      </c>
      <c r="C21" s="291">
        <v>254</v>
      </c>
      <c r="D21" s="291">
        <v>316</v>
      </c>
      <c r="E21" s="291">
        <v>398</v>
      </c>
      <c r="F21" s="291">
        <v>406</v>
      </c>
      <c r="G21" s="291">
        <v>444</v>
      </c>
      <c r="H21" s="291">
        <v>445</v>
      </c>
      <c r="I21" s="291">
        <v>491</v>
      </c>
      <c r="J21" s="291">
        <v>548</v>
      </c>
      <c r="K21" s="291">
        <v>592</v>
      </c>
      <c r="L21" s="74"/>
    </row>
    <row r="22" spans="1:12" ht="19" x14ac:dyDescent="0.25">
      <c r="A22" s="281" t="s">
        <v>302</v>
      </c>
      <c r="B22" s="291">
        <v>700</v>
      </c>
      <c r="C22" s="291">
        <v>615</v>
      </c>
      <c r="D22" s="291">
        <v>544</v>
      </c>
      <c r="E22" s="291">
        <v>574</v>
      </c>
      <c r="F22" s="291">
        <v>855</v>
      </c>
      <c r="G22" s="291">
        <v>941</v>
      </c>
      <c r="H22" s="291">
        <v>992</v>
      </c>
      <c r="I22" s="291">
        <v>908</v>
      </c>
      <c r="J22" s="282">
        <v>1929</v>
      </c>
      <c r="K22" s="282">
        <v>1052</v>
      </c>
      <c r="L22" s="74"/>
    </row>
    <row r="23" spans="1:12" ht="19" x14ac:dyDescent="0.25">
      <c r="A23" s="283" t="s">
        <v>303</v>
      </c>
      <c r="B23" s="284">
        <v>33163</v>
      </c>
      <c r="C23" s="284">
        <v>36347</v>
      </c>
      <c r="D23" s="284">
        <v>40830</v>
      </c>
      <c r="E23" s="284">
        <v>45400</v>
      </c>
      <c r="F23" s="284">
        <v>55556</v>
      </c>
      <c r="G23" s="284">
        <v>59268</v>
      </c>
      <c r="H23" s="284">
        <v>64166</v>
      </c>
      <c r="I23" s="284">
        <v>68994</v>
      </c>
      <c r="J23" s="284">
        <v>69831</v>
      </c>
      <c r="K23" s="284">
        <v>77099</v>
      </c>
      <c r="L23" s="74"/>
    </row>
    <row r="24" spans="1:12" ht="19" x14ac:dyDescent="0.25">
      <c r="A24" s="281" t="s">
        <v>304</v>
      </c>
      <c r="B24" s="282">
        <v>7612</v>
      </c>
      <c r="C24" s="282">
        <v>9608</v>
      </c>
      <c r="D24" s="282">
        <v>11237</v>
      </c>
      <c r="E24" s="282">
        <v>11679</v>
      </c>
      <c r="F24" s="282">
        <v>14172</v>
      </c>
      <c r="G24" s="282">
        <v>16278</v>
      </c>
      <c r="H24" s="282">
        <v>17848</v>
      </c>
      <c r="I24" s="282">
        <v>17483</v>
      </c>
      <c r="J24" s="282">
        <v>19421</v>
      </c>
      <c r="K24" s="282">
        <v>19783</v>
      </c>
      <c r="L24" s="74"/>
    </row>
    <row r="25" spans="1:12" ht="19" x14ac:dyDescent="0.25">
      <c r="A25" s="281" t="s">
        <v>305</v>
      </c>
      <c r="B25" s="282">
        <v>3498</v>
      </c>
      <c r="C25" s="282">
        <v>3664</v>
      </c>
      <c r="D25" s="282">
        <v>4051</v>
      </c>
      <c r="E25" s="282">
        <v>4356</v>
      </c>
      <c r="F25" s="282">
        <v>4998</v>
      </c>
      <c r="G25" s="282">
        <v>5761</v>
      </c>
      <c r="H25" s="282">
        <v>6292</v>
      </c>
      <c r="I25" s="282">
        <v>6428</v>
      </c>
      <c r="J25" s="282">
        <v>7229</v>
      </c>
      <c r="K25" s="282">
        <v>7882</v>
      </c>
      <c r="L25" s="74"/>
    </row>
    <row r="26" spans="1:12" ht="19" x14ac:dyDescent="0.25">
      <c r="A26" s="281" t="s">
        <v>306</v>
      </c>
      <c r="B26" s="289"/>
      <c r="C26" s="289"/>
      <c r="D26" s="289"/>
      <c r="E26" s="289"/>
      <c r="F26" s="289"/>
      <c r="G26" s="289"/>
      <c r="H26" s="289"/>
      <c r="I26" s="289"/>
      <c r="J26" s="289"/>
      <c r="K26" s="289"/>
      <c r="L26" s="74"/>
    </row>
    <row r="27" spans="1:12" ht="19" x14ac:dyDescent="0.25">
      <c r="A27" s="281" t="s">
        <v>307</v>
      </c>
      <c r="B27" s="282">
        <v>1100</v>
      </c>
      <c r="C27" s="291">
        <v>86</v>
      </c>
      <c r="D27" s="291">
        <v>90</v>
      </c>
      <c r="E27" s="282">
        <v>1699</v>
      </c>
      <c r="F27" s="291">
        <v>95</v>
      </c>
      <c r="G27" s="291">
        <v>799</v>
      </c>
      <c r="H27" s="291">
        <v>73</v>
      </c>
      <c r="I27" s="282">
        <v>1081</v>
      </c>
      <c r="J27" s="291">
        <v>103</v>
      </c>
      <c r="K27" s="291">
        <v>75</v>
      </c>
      <c r="L27" s="74"/>
    </row>
    <row r="28" spans="1:12" ht="19" x14ac:dyDescent="0.25">
      <c r="A28" s="281" t="s">
        <v>308</v>
      </c>
      <c r="B28" s="289"/>
      <c r="C28" s="289"/>
      <c r="D28" s="289"/>
      <c r="E28" s="291">
        <v>51</v>
      </c>
      <c r="F28" s="291">
        <v>262</v>
      </c>
      <c r="G28" s="291">
        <v>294</v>
      </c>
      <c r="H28" s="291">
        <v>484</v>
      </c>
      <c r="I28" s="291">
        <v>349</v>
      </c>
      <c r="J28" s="291">
        <v>326</v>
      </c>
      <c r="K28" s="291">
        <v>286</v>
      </c>
      <c r="L28" s="74"/>
    </row>
    <row r="29" spans="1:12" ht="19" x14ac:dyDescent="0.25">
      <c r="A29" s="281" t="s">
        <v>309</v>
      </c>
      <c r="B29" s="289"/>
      <c r="C29" s="289"/>
      <c r="D29" s="289"/>
      <c r="E29" s="289"/>
      <c r="F29" s="289"/>
      <c r="G29" s="289"/>
      <c r="H29" s="289"/>
      <c r="I29" s="289"/>
      <c r="J29" s="289"/>
      <c r="K29" s="289"/>
      <c r="L29" s="74"/>
    </row>
    <row r="30" spans="1:12" ht="19" x14ac:dyDescent="0.25">
      <c r="A30" s="281" t="s">
        <v>310</v>
      </c>
      <c r="B30" s="282">
        <v>1362</v>
      </c>
      <c r="C30" s="282">
        <v>1498</v>
      </c>
      <c r="D30" s="282">
        <v>1624</v>
      </c>
      <c r="E30" s="282">
        <v>1711</v>
      </c>
      <c r="F30" s="282">
        <v>1851</v>
      </c>
      <c r="G30" s="282">
        <v>2042</v>
      </c>
      <c r="H30" s="282">
        <v>2174</v>
      </c>
      <c r="I30" s="282">
        <v>2337</v>
      </c>
      <c r="J30" s="282">
        <v>2501</v>
      </c>
      <c r="K30" s="282">
        <v>2854</v>
      </c>
      <c r="L30" s="74"/>
    </row>
    <row r="31" spans="1:12" ht="19" x14ac:dyDescent="0.25">
      <c r="A31" s="281" t="s">
        <v>311</v>
      </c>
      <c r="B31" s="289"/>
      <c r="C31" s="289"/>
      <c r="D31" s="289"/>
      <c r="E31" s="289"/>
      <c r="F31" s="289"/>
      <c r="G31" s="289"/>
      <c r="H31" s="289"/>
      <c r="I31" s="289"/>
      <c r="J31" s="289"/>
      <c r="K31" s="289"/>
      <c r="L31" s="74"/>
    </row>
    <row r="32" spans="1:12" ht="19" x14ac:dyDescent="0.25">
      <c r="A32" s="281" t="s">
        <v>312</v>
      </c>
      <c r="B32" s="282">
        <v>2003</v>
      </c>
      <c r="C32" s="282">
        <v>2639</v>
      </c>
      <c r="D32" s="282">
        <v>2924</v>
      </c>
      <c r="E32" s="282">
        <v>3741</v>
      </c>
      <c r="F32" s="282">
        <v>3466</v>
      </c>
      <c r="G32" s="282">
        <v>4267</v>
      </c>
      <c r="H32" s="282">
        <v>5127</v>
      </c>
      <c r="I32" s="282">
        <v>5905</v>
      </c>
      <c r="J32" s="282">
        <v>5884</v>
      </c>
      <c r="K32" s="282">
        <v>6228</v>
      </c>
      <c r="L32" s="74"/>
    </row>
    <row r="33" spans="1:12" ht="19" x14ac:dyDescent="0.25">
      <c r="A33" s="283" t="s">
        <v>313</v>
      </c>
      <c r="B33" s="284">
        <v>15575</v>
      </c>
      <c r="C33" s="284">
        <v>17495</v>
      </c>
      <c r="D33" s="284">
        <v>19926</v>
      </c>
      <c r="E33" s="284">
        <v>23237</v>
      </c>
      <c r="F33" s="284">
        <v>24844</v>
      </c>
      <c r="G33" s="284">
        <v>29441</v>
      </c>
      <c r="H33" s="284">
        <v>31998</v>
      </c>
      <c r="I33" s="284">
        <v>33583</v>
      </c>
      <c r="J33" s="284">
        <v>35464</v>
      </c>
      <c r="K33" s="284">
        <v>37108</v>
      </c>
      <c r="L33" s="74"/>
    </row>
    <row r="34" spans="1:12" ht="19" x14ac:dyDescent="0.25">
      <c r="A34" s="281" t="s">
        <v>314</v>
      </c>
      <c r="B34" s="282">
        <v>4061</v>
      </c>
      <c r="C34" s="282">
        <v>6573</v>
      </c>
      <c r="D34" s="282">
        <v>6487</v>
      </c>
      <c r="E34" s="282">
        <v>5124</v>
      </c>
      <c r="F34" s="282">
        <v>7514</v>
      </c>
      <c r="G34" s="282">
        <v>6692</v>
      </c>
      <c r="H34" s="282">
        <v>6484</v>
      </c>
      <c r="I34" s="282">
        <v>5377</v>
      </c>
      <c r="J34" s="282">
        <v>5794</v>
      </c>
      <c r="K34" s="282">
        <v>5713</v>
      </c>
      <c r="L34" s="74"/>
    </row>
    <row r="35" spans="1:12" ht="19" x14ac:dyDescent="0.25">
      <c r="A35" s="281" t="s">
        <v>315</v>
      </c>
      <c r="B35" s="289"/>
      <c r="C35" s="289"/>
      <c r="D35" s="289"/>
      <c r="E35" s="291">
        <v>370</v>
      </c>
      <c r="F35" s="282">
        <v>3215</v>
      </c>
      <c r="G35" s="282">
        <v>3622</v>
      </c>
      <c r="H35" s="282">
        <v>3865</v>
      </c>
      <c r="I35" s="282">
        <v>3729</v>
      </c>
      <c r="J35" s="282">
        <v>3726</v>
      </c>
      <c r="K35" s="282">
        <v>3861</v>
      </c>
      <c r="L35" s="74"/>
    </row>
    <row r="36" spans="1:12" ht="19" x14ac:dyDescent="0.25">
      <c r="A36" s="281" t="s">
        <v>316</v>
      </c>
      <c r="B36" s="291">
        <v>297</v>
      </c>
      <c r="C36" s="291">
        <v>312</v>
      </c>
      <c r="D36" s="291">
        <v>317</v>
      </c>
      <c r="E36" s="291">
        <v>543</v>
      </c>
      <c r="F36" s="291">
        <v>665</v>
      </c>
      <c r="G36" s="291">
        <v>754</v>
      </c>
      <c r="H36" s="291">
        <v>724</v>
      </c>
      <c r="I36" s="291">
        <v>795</v>
      </c>
      <c r="J36" s="291">
        <v>769</v>
      </c>
      <c r="K36" s="291">
        <v>724</v>
      </c>
      <c r="L36" s="74"/>
    </row>
    <row r="37" spans="1:12" ht="19" x14ac:dyDescent="0.25">
      <c r="A37" s="281" t="s">
        <v>317</v>
      </c>
      <c r="B37" s="291">
        <v>898</v>
      </c>
      <c r="C37" s="291">
        <v>888</v>
      </c>
      <c r="D37" s="291">
        <v>997</v>
      </c>
      <c r="E37" s="291">
        <v>542</v>
      </c>
      <c r="F37" s="291">
        <v>613</v>
      </c>
      <c r="G37" s="291">
        <v>681</v>
      </c>
      <c r="H37" s="291">
        <v>448</v>
      </c>
      <c r="I37" s="291">
        <v>452</v>
      </c>
      <c r="J37" s="291">
        <v>456</v>
      </c>
      <c r="K37" s="291">
        <v>529</v>
      </c>
      <c r="L37" s="74"/>
    </row>
    <row r="38" spans="1:12" ht="19" x14ac:dyDescent="0.25">
      <c r="A38" s="283" t="s">
        <v>318</v>
      </c>
      <c r="B38" s="284">
        <v>20831</v>
      </c>
      <c r="C38" s="284">
        <v>25268</v>
      </c>
      <c r="D38" s="284">
        <v>27727</v>
      </c>
      <c r="E38" s="284">
        <v>29816</v>
      </c>
      <c r="F38" s="284">
        <v>36851</v>
      </c>
      <c r="G38" s="284">
        <v>41190</v>
      </c>
      <c r="H38" s="284">
        <v>43519</v>
      </c>
      <c r="I38" s="284">
        <v>43936</v>
      </c>
      <c r="J38" s="284">
        <v>46209</v>
      </c>
      <c r="K38" s="284">
        <v>47935</v>
      </c>
      <c r="L38" s="74"/>
    </row>
    <row r="39" spans="1:12" ht="19" x14ac:dyDescent="0.25">
      <c r="A39" s="281" t="s">
        <v>319</v>
      </c>
      <c r="B39" s="291">
        <v>2</v>
      </c>
      <c r="C39" s="291">
        <v>4</v>
      </c>
      <c r="D39" s="291">
        <v>4</v>
      </c>
      <c r="E39" s="291">
        <v>4</v>
      </c>
      <c r="F39" s="291">
        <v>4</v>
      </c>
      <c r="G39" s="291">
        <v>4</v>
      </c>
      <c r="H39" s="291">
        <v>2</v>
      </c>
      <c r="I39" s="291">
        <v>2</v>
      </c>
      <c r="J39" s="291">
        <v>2</v>
      </c>
      <c r="K39" s="291">
        <v>2</v>
      </c>
      <c r="L39" s="74"/>
    </row>
    <row r="40" spans="1:12" ht="19" x14ac:dyDescent="0.25">
      <c r="A40" s="281" t="s">
        <v>320</v>
      </c>
      <c r="B40" s="282">
        <v>5490</v>
      </c>
      <c r="C40" s="282">
        <v>5800</v>
      </c>
      <c r="D40" s="282">
        <v>6107</v>
      </c>
      <c r="E40" s="282">
        <v>6417</v>
      </c>
      <c r="F40" s="282">
        <v>6698</v>
      </c>
      <c r="G40" s="282">
        <v>7031</v>
      </c>
      <c r="H40" s="282">
        <v>6884</v>
      </c>
      <c r="I40" s="282">
        <v>7340</v>
      </c>
      <c r="J40" s="282">
        <v>7829</v>
      </c>
      <c r="K40" s="282">
        <v>8282</v>
      </c>
      <c r="L40" s="74"/>
    </row>
    <row r="41" spans="1:12" ht="19" x14ac:dyDescent="0.25">
      <c r="A41" s="281" t="s">
        <v>321</v>
      </c>
      <c r="B41" s="282">
        <v>7686</v>
      </c>
      <c r="C41" s="282">
        <v>5988</v>
      </c>
      <c r="D41" s="282">
        <v>7887</v>
      </c>
      <c r="E41" s="282">
        <v>10258</v>
      </c>
      <c r="F41" s="282">
        <v>12879</v>
      </c>
      <c r="G41" s="282">
        <v>11666</v>
      </c>
      <c r="H41" s="282">
        <v>15585</v>
      </c>
      <c r="I41" s="282">
        <v>19521</v>
      </c>
      <c r="J41" s="282">
        <v>17619</v>
      </c>
      <c r="K41" s="282">
        <v>22650</v>
      </c>
      <c r="L41" s="74"/>
    </row>
    <row r="42" spans="1:12" ht="19" x14ac:dyDescent="0.25">
      <c r="A42" s="281" t="s">
        <v>322</v>
      </c>
      <c r="B42" s="287">
        <v>-1099</v>
      </c>
      <c r="C42" s="287">
        <v>-1014</v>
      </c>
      <c r="D42" s="287">
        <v>-1199</v>
      </c>
      <c r="E42" s="287">
        <v>-1436</v>
      </c>
      <c r="F42" s="287">
        <v>-1297</v>
      </c>
      <c r="G42" s="287">
        <v>-1137</v>
      </c>
      <c r="H42" s="287">
        <v>-1829</v>
      </c>
      <c r="I42" s="287">
        <v>-1805</v>
      </c>
      <c r="J42" s="287">
        <v>-1828</v>
      </c>
      <c r="K42" s="287">
        <v>-1770</v>
      </c>
      <c r="L42" s="74"/>
    </row>
    <row r="43" spans="1:12" ht="19" x14ac:dyDescent="0.25">
      <c r="A43" s="283" t="s">
        <v>323</v>
      </c>
      <c r="B43" s="284">
        <v>12079</v>
      </c>
      <c r="C43" s="284">
        <v>10778</v>
      </c>
      <c r="D43" s="284">
        <v>12799</v>
      </c>
      <c r="E43" s="284">
        <v>15243</v>
      </c>
      <c r="F43" s="284">
        <v>18284</v>
      </c>
      <c r="G43" s="284">
        <v>17564</v>
      </c>
      <c r="H43" s="284">
        <v>20642</v>
      </c>
      <c r="I43" s="284">
        <v>25058</v>
      </c>
      <c r="J43" s="284">
        <v>23622</v>
      </c>
      <c r="K43" s="284">
        <v>29164</v>
      </c>
      <c r="L43" s="74"/>
    </row>
    <row r="44" spans="1:12" ht="19" x14ac:dyDescent="0.25">
      <c r="A44" s="281" t="s">
        <v>257</v>
      </c>
      <c r="B44" s="291">
        <v>253</v>
      </c>
      <c r="C44" s="291">
        <v>301</v>
      </c>
      <c r="D44" s="291">
        <v>304</v>
      </c>
      <c r="E44" s="291">
        <v>341</v>
      </c>
      <c r="F44" s="291">
        <v>421</v>
      </c>
      <c r="G44" s="291">
        <v>514</v>
      </c>
      <c r="H44" s="291">
        <v>5</v>
      </c>
      <c r="I44" s="289"/>
      <c r="J44" s="289"/>
      <c r="K44" s="289"/>
      <c r="L44" s="74"/>
    </row>
    <row r="45" spans="1:12" ht="19" x14ac:dyDescent="0.25">
      <c r="A45" s="283" t="s">
        <v>324</v>
      </c>
      <c r="B45" s="284">
        <v>12332</v>
      </c>
      <c r="C45" s="284">
        <v>11079</v>
      </c>
      <c r="D45" s="284">
        <v>13103</v>
      </c>
      <c r="E45" s="284">
        <v>15584</v>
      </c>
      <c r="F45" s="284">
        <v>18705</v>
      </c>
      <c r="G45" s="284">
        <v>18078</v>
      </c>
      <c r="H45" s="284">
        <v>20647</v>
      </c>
      <c r="I45" s="284">
        <v>25058</v>
      </c>
      <c r="J45" s="284">
        <v>23622</v>
      </c>
      <c r="K45" s="284">
        <v>29164</v>
      </c>
      <c r="L45" s="74"/>
    </row>
    <row r="46" spans="1:12" ht="19" x14ac:dyDescent="0.25">
      <c r="A46" s="283" t="s">
        <v>325</v>
      </c>
      <c r="B46" s="284">
        <v>33163</v>
      </c>
      <c r="C46" s="284">
        <v>36347</v>
      </c>
      <c r="D46" s="284">
        <v>40830</v>
      </c>
      <c r="E46" s="284">
        <v>45400</v>
      </c>
      <c r="F46" s="284">
        <v>55556</v>
      </c>
      <c r="G46" s="284">
        <v>59268</v>
      </c>
      <c r="H46" s="284">
        <v>64166</v>
      </c>
      <c r="I46" s="284">
        <v>68994</v>
      </c>
      <c r="J46" s="284">
        <v>69831</v>
      </c>
      <c r="K46" s="284">
        <v>77099</v>
      </c>
      <c r="L46" s="74"/>
    </row>
    <row r="47" spans="1:12" ht="19" x14ac:dyDescent="0.25">
      <c r="A47" s="285" t="s">
        <v>262</v>
      </c>
      <c r="B47"/>
      <c r="C47"/>
      <c r="D47"/>
      <c r="E47"/>
      <c r="F47"/>
      <c r="G47"/>
      <c r="H47"/>
      <c r="I47"/>
      <c r="J47"/>
      <c r="K47"/>
      <c r="L47" s="74"/>
    </row>
    <row r="48" spans="1:12" ht="19" x14ac:dyDescent="0.25">
      <c r="A48" s="281" t="s">
        <v>326</v>
      </c>
      <c r="B48" s="291">
        <v>437.13</v>
      </c>
      <c r="C48" s="291">
        <v>436.99</v>
      </c>
      <c r="D48" s="291">
        <v>438.21</v>
      </c>
      <c r="E48" s="289"/>
      <c r="F48" s="291">
        <v>441.23</v>
      </c>
      <c r="G48" s="291">
        <v>441.82</v>
      </c>
      <c r="H48" s="291">
        <v>442.6</v>
      </c>
      <c r="I48" s="291">
        <v>442.74</v>
      </c>
      <c r="J48" s="291">
        <v>443.07</v>
      </c>
      <c r="K48" s="291">
        <v>443.18</v>
      </c>
      <c r="L48" s="74"/>
    </row>
    <row r="49" spans="1:12" ht="19" x14ac:dyDescent="0.25">
      <c r="A49" s="281" t="s">
        <v>327</v>
      </c>
      <c r="B49" s="291">
        <v>27.61</v>
      </c>
      <c r="C49" s="291">
        <v>24.65</v>
      </c>
      <c r="D49" s="291">
        <v>29.21</v>
      </c>
      <c r="E49" s="291">
        <v>34.67</v>
      </c>
      <c r="F49" s="291">
        <v>41.44</v>
      </c>
      <c r="G49" s="291">
        <v>39.75</v>
      </c>
      <c r="H49" s="291">
        <v>46.63</v>
      </c>
      <c r="I49" s="291">
        <v>56.59</v>
      </c>
      <c r="J49" s="291">
        <v>53.31</v>
      </c>
      <c r="K49" s="291">
        <v>65.8</v>
      </c>
      <c r="L49" s="74"/>
    </row>
    <row r="50" spans="1:12" ht="19" x14ac:dyDescent="0.25">
      <c r="A50" s="281" t="s">
        <v>328</v>
      </c>
      <c r="B50" s="282">
        <v>12079</v>
      </c>
      <c r="C50" s="282">
        <v>10778</v>
      </c>
      <c r="D50" s="282">
        <v>12799</v>
      </c>
      <c r="E50" s="282">
        <v>15190</v>
      </c>
      <c r="F50" s="282">
        <v>17296</v>
      </c>
      <c r="G50" s="282">
        <v>16568</v>
      </c>
      <c r="H50" s="282">
        <v>19649</v>
      </c>
      <c r="I50" s="282">
        <v>24064</v>
      </c>
      <c r="J50" s="282">
        <v>23596</v>
      </c>
      <c r="K50" s="282">
        <v>28211</v>
      </c>
      <c r="L50" s="74"/>
    </row>
    <row r="51" spans="1:12" ht="19" x14ac:dyDescent="0.25">
      <c r="A51" s="281" t="s">
        <v>329</v>
      </c>
      <c r="B51" s="291">
        <v>27.61</v>
      </c>
      <c r="C51" s="291">
        <v>24.65</v>
      </c>
      <c r="D51" s="291">
        <v>29.21</v>
      </c>
      <c r="E51" s="291">
        <v>34.549999999999997</v>
      </c>
      <c r="F51" s="291">
        <v>39.200000000000003</v>
      </c>
      <c r="G51" s="291">
        <v>37.5</v>
      </c>
      <c r="H51" s="291">
        <v>44.39</v>
      </c>
      <c r="I51" s="291">
        <v>54.35</v>
      </c>
      <c r="J51" s="291">
        <v>53.25</v>
      </c>
      <c r="K51" s="291">
        <v>63.65</v>
      </c>
      <c r="L51" s="74"/>
    </row>
    <row r="52" spans="1:12" ht="19" x14ac:dyDescent="0.25">
      <c r="A52" s="281" t="s">
        <v>330</v>
      </c>
      <c r="B52" s="282">
        <v>5161</v>
      </c>
      <c r="C52" s="282">
        <v>6659</v>
      </c>
      <c r="D52" s="282">
        <v>6577</v>
      </c>
      <c r="E52" s="282">
        <v>7244</v>
      </c>
      <c r="F52" s="282">
        <v>11086</v>
      </c>
      <c r="G52" s="282">
        <v>11407</v>
      </c>
      <c r="H52" s="282">
        <v>10906</v>
      </c>
      <c r="I52" s="282">
        <v>10536</v>
      </c>
      <c r="J52" s="282">
        <v>9949</v>
      </c>
      <c r="K52" s="282">
        <v>9935</v>
      </c>
      <c r="L52" s="74"/>
    </row>
    <row r="53" spans="1:12" ht="19" x14ac:dyDescent="0.25">
      <c r="A53" s="281" t="s">
        <v>331</v>
      </c>
      <c r="B53" s="291">
        <v>432</v>
      </c>
      <c r="C53" s="291">
        <v>880</v>
      </c>
      <c r="D53" s="288">
        <v>-682</v>
      </c>
      <c r="E53" s="287">
        <v>-2200</v>
      </c>
      <c r="F53" s="287">
        <v>-2219</v>
      </c>
      <c r="G53" s="288">
        <v>-768</v>
      </c>
      <c r="H53" s="288">
        <v>-143</v>
      </c>
      <c r="I53" s="287">
        <v>-4698</v>
      </c>
      <c r="J53" s="287">
        <v>-1195</v>
      </c>
      <c r="K53" s="287">
        <v>-5349</v>
      </c>
      <c r="L53" s="74"/>
    </row>
    <row r="54" spans="1:12" ht="19" x14ac:dyDescent="0.25">
      <c r="A54" s="281" t="s">
        <v>332</v>
      </c>
      <c r="B54" s="291">
        <v>253</v>
      </c>
      <c r="C54" s="291">
        <v>301</v>
      </c>
      <c r="D54" s="291">
        <v>304</v>
      </c>
      <c r="E54" s="291">
        <v>341</v>
      </c>
      <c r="F54" s="291">
        <v>421</v>
      </c>
      <c r="G54" s="291">
        <v>514</v>
      </c>
      <c r="H54" s="291">
        <v>5</v>
      </c>
      <c r="I54" s="289"/>
      <c r="J54" s="289"/>
      <c r="K54" s="289"/>
      <c r="L54" s="74"/>
    </row>
    <row r="55" spans="1:12" ht="19" x14ac:dyDescent="0.25">
      <c r="A55" s="281" t="s">
        <v>333</v>
      </c>
      <c r="B55" s="289"/>
      <c r="C55" s="289"/>
      <c r="D55" s="289"/>
      <c r="E55" s="289"/>
      <c r="F55" s="289"/>
      <c r="G55" s="289"/>
      <c r="H55" s="289"/>
      <c r="I55" s="289"/>
      <c r="J55" s="289"/>
      <c r="K55" s="289"/>
      <c r="L55" s="74"/>
    </row>
    <row r="56" spans="1:12" ht="19" x14ac:dyDescent="0.25">
      <c r="A56" s="281" t="s">
        <v>334</v>
      </c>
      <c r="B56" s="282">
        <v>5395</v>
      </c>
      <c r="C56" s="282">
        <v>5690</v>
      </c>
      <c r="D56" s="282">
        <v>6193</v>
      </c>
      <c r="E56" s="282">
        <v>6417</v>
      </c>
      <c r="F56" s="282">
        <v>6696</v>
      </c>
      <c r="G56" s="282">
        <v>7507</v>
      </c>
      <c r="H56" s="282">
        <v>7955</v>
      </c>
      <c r="I56" s="282">
        <v>8590</v>
      </c>
      <c r="J56" s="282">
        <v>9447</v>
      </c>
      <c r="K56" s="282">
        <v>10323</v>
      </c>
      <c r="L56" s="74"/>
    </row>
    <row r="57" spans="1:12" ht="19" x14ac:dyDescent="0.25">
      <c r="A57" s="281" t="s">
        <v>335</v>
      </c>
      <c r="B57" s="282">
        <v>13994</v>
      </c>
      <c r="C57" s="282">
        <v>15127</v>
      </c>
      <c r="D57" s="282">
        <v>16107</v>
      </c>
      <c r="E57" s="282">
        <v>17136</v>
      </c>
      <c r="F57" s="282">
        <v>17982</v>
      </c>
      <c r="G57" s="282">
        <v>19139</v>
      </c>
      <c r="H57" s="282">
        <v>20120</v>
      </c>
      <c r="I57" s="282">
        <v>22001</v>
      </c>
      <c r="J57" s="282">
        <v>23727</v>
      </c>
      <c r="K57" s="282">
        <v>25508</v>
      </c>
      <c r="L57" s="74"/>
    </row>
    <row r="58" spans="1:12" ht="19" x14ac:dyDescent="0.25">
      <c r="A58" s="281" t="s">
        <v>336</v>
      </c>
      <c r="B58" s="291">
        <v>701</v>
      </c>
      <c r="C58" s="291">
        <v>843</v>
      </c>
      <c r="D58" s="282">
        <v>1140</v>
      </c>
      <c r="E58" s="282">
        <v>1272</v>
      </c>
      <c r="F58" s="282">
        <v>1276</v>
      </c>
      <c r="G58" s="282">
        <v>1507</v>
      </c>
      <c r="H58" s="282">
        <v>1582</v>
      </c>
      <c r="I58" s="282">
        <v>1266</v>
      </c>
      <c r="J58" s="282">
        <v>1389</v>
      </c>
      <c r="K58" s="282">
        <v>1882</v>
      </c>
      <c r="L58" s="74"/>
    </row>
    <row r="59" spans="1:12" ht="19" x14ac:dyDescent="0.25">
      <c r="A59" s="281" t="s">
        <v>337</v>
      </c>
      <c r="B59" s="282">
        <v>126000</v>
      </c>
      <c r="C59" s="282">
        <v>133000</v>
      </c>
      <c r="D59" s="282">
        <v>143000</v>
      </c>
      <c r="E59" s="282">
        <v>149000</v>
      </c>
      <c r="F59" s="282">
        <v>156000</v>
      </c>
      <c r="G59" s="282">
        <v>288000</v>
      </c>
      <c r="H59" s="282">
        <v>304000</v>
      </c>
      <c r="I59" s="282">
        <v>316000</v>
      </c>
      <c r="J59" s="282">
        <v>333000</v>
      </c>
      <c r="K59" s="282">
        <v>341000</v>
      </c>
      <c r="L59" s="74"/>
    </row>
    <row r="60" spans="1:12" ht="16" x14ac:dyDescent="0.2">
      <c r="A60" s="297" t="s">
        <v>278</v>
      </c>
      <c r="B60"/>
      <c r="C60"/>
      <c r="D60"/>
      <c r="E60"/>
      <c r="F60"/>
      <c r="G60"/>
      <c r="H60"/>
      <c r="I60"/>
      <c r="J60"/>
      <c r="K60"/>
      <c r="L60" s="74"/>
    </row>
    <row r="61" spans="1:12" ht="16" x14ac:dyDescent="0.2">
      <c r="A61" s="297" t="s">
        <v>279</v>
      </c>
      <c r="B61"/>
      <c r="C61"/>
      <c r="D61"/>
      <c r="E61"/>
      <c r="F61"/>
      <c r="G61"/>
      <c r="H61"/>
      <c r="I61"/>
      <c r="J61"/>
      <c r="K61"/>
      <c r="L61" s="74"/>
    </row>
    <row r="62" spans="1:12" x14ac:dyDescent="0.2">
      <c r="A62" s="298" t="s">
        <v>280</v>
      </c>
      <c r="B62"/>
      <c r="C62"/>
      <c r="D62"/>
      <c r="E62"/>
      <c r="F62"/>
      <c r="G62"/>
      <c r="H62"/>
      <c r="I62"/>
      <c r="J62"/>
      <c r="K62"/>
      <c r="L62" s="74"/>
    </row>
    <row r="63" spans="1:12" x14ac:dyDescent="0.2">
      <c r="A63" s="298" t="s">
        <v>281</v>
      </c>
      <c r="B63"/>
      <c r="C63"/>
      <c r="D63"/>
      <c r="E63"/>
      <c r="F63"/>
      <c r="G63"/>
      <c r="H63"/>
      <c r="I63"/>
      <c r="J63"/>
      <c r="K63"/>
      <c r="L63" s="74"/>
    </row>
    <row r="64" spans="1:12" x14ac:dyDescent="0.2">
      <c r="B64" s="74"/>
      <c r="C64" s="74"/>
      <c r="D64" s="74"/>
      <c r="E64" s="74"/>
      <c r="F64" s="74"/>
      <c r="G64" s="74"/>
      <c r="H64" s="74"/>
      <c r="I64" s="74"/>
      <c r="J64" s="74"/>
      <c r="K64" s="74"/>
      <c r="L64" s="74"/>
    </row>
    <row r="65" spans="2:12" x14ac:dyDescent="0.2">
      <c r="B65" s="74"/>
      <c r="C65" s="74"/>
      <c r="D65" s="74"/>
      <c r="E65" s="74"/>
      <c r="F65" s="74"/>
      <c r="G65" s="74"/>
      <c r="H65" s="74"/>
      <c r="I65" s="74"/>
      <c r="J65" s="74"/>
      <c r="K65" s="74"/>
      <c r="L65" s="74"/>
    </row>
    <row r="66" spans="2:12" x14ac:dyDescent="0.2">
      <c r="J66" s="74"/>
      <c r="K66" s="74"/>
      <c r="L66" s="74"/>
    </row>
    <row r="67" spans="2:12" x14ac:dyDescent="0.2">
      <c r="C67" s="74"/>
      <c r="H67" s="74"/>
      <c r="I67" s="74"/>
      <c r="J67" s="74"/>
      <c r="K67" s="74"/>
    </row>
    <row r="68" spans="2:12" x14ac:dyDescent="0.2">
      <c r="B68" s="74"/>
      <c r="C68" s="74"/>
      <c r="D68" s="74"/>
      <c r="E68" s="74"/>
      <c r="F68" s="74"/>
      <c r="G68" s="74"/>
      <c r="H68" s="74"/>
      <c r="I68" s="74"/>
      <c r="J68" s="74"/>
      <c r="K68" s="74"/>
    </row>
    <row r="69" spans="2:12" x14ac:dyDescent="0.2">
      <c r="B69" s="74"/>
      <c r="C69" s="74"/>
      <c r="D69" s="74"/>
      <c r="E69" s="74"/>
      <c r="F69" s="74"/>
      <c r="G69" s="74"/>
      <c r="H69" s="74"/>
      <c r="I69" s="74"/>
      <c r="J69" s="74"/>
      <c r="K69" s="74"/>
      <c r="L69" s="74"/>
    </row>
  </sheetData>
  <mergeCells count="1">
    <mergeCell ref="A1:J1"/>
  </mergeCells>
  <hyperlinks>
    <hyperlink ref="A62" r:id="rId1" display="https://app.tikr.com/terms" xr:uid="{2A18186E-1286-8A44-82B6-4B5EEE016559}"/>
    <hyperlink ref="A63" r:id="rId2" display="https://app.tikr.com/privacypolicy" xr:uid="{4C079DDF-C3C1-5A4C-AC3C-39EB069DF6A5}"/>
  </hyperlinks>
  <pageMargins left="0.7" right="0.7" top="0.75" bottom="0.75" header="0.3" footer="0.3"/>
  <pageSetup paperSize="9"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activeCell="C5" sqref="C5"/>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12" x14ac:dyDescent="0.2">
      <c r="A1" s="317"/>
      <c r="B1" s="317"/>
      <c r="C1" s="317"/>
      <c r="D1" s="317"/>
      <c r="E1" s="317"/>
      <c r="F1" s="317"/>
      <c r="G1" s="317"/>
      <c r="H1" s="317"/>
      <c r="I1" s="317"/>
      <c r="J1" s="317"/>
      <c r="K1" s="79"/>
      <c r="L1" s="79"/>
    </row>
    <row r="2" spans="1:12" ht="19" x14ac:dyDescent="0.25">
      <c r="A2" s="279" t="s">
        <v>338</v>
      </c>
      <c r="B2" s="279" t="s">
        <v>400</v>
      </c>
      <c r="C2" s="279" t="s">
        <v>339</v>
      </c>
      <c r="D2" s="279" t="s">
        <v>340</v>
      </c>
      <c r="E2" s="279" t="s">
        <v>341</v>
      </c>
      <c r="F2" s="279" t="s">
        <v>342</v>
      </c>
      <c r="G2" s="279" t="s">
        <v>343</v>
      </c>
      <c r="H2" s="279" t="s">
        <v>344</v>
      </c>
      <c r="I2" s="279" t="s">
        <v>345</v>
      </c>
      <c r="J2" s="279" t="s">
        <v>346</v>
      </c>
      <c r="K2" s="279" t="s">
        <v>228</v>
      </c>
      <c r="L2" s="80"/>
    </row>
    <row r="3" spans="1:12" x14ac:dyDescent="0.2">
      <c r="B3"/>
      <c r="C3"/>
      <c r="D3"/>
      <c r="E3"/>
      <c r="F3"/>
      <c r="G3"/>
      <c r="H3"/>
      <c r="I3"/>
      <c r="J3"/>
      <c r="K3"/>
      <c r="L3" s="82"/>
    </row>
    <row r="4" spans="1:12" ht="19" x14ac:dyDescent="0.25">
      <c r="A4" s="283" t="s">
        <v>1</v>
      </c>
      <c r="B4" s="284">
        <v>2376</v>
      </c>
      <c r="C4" s="284">
        <v>2714</v>
      </c>
      <c r="D4" s="284">
        <v>3179</v>
      </c>
      <c r="E4" s="284">
        <v>3704</v>
      </c>
      <c r="F4" s="284">
        <v>4059</v>
      </c>
      <c r="G4" s="284">
        <v>5079</v>
      </c>
      <c r="H4" s="284">
        <v>5915</v>
      </c>
      <c r="I4" s="284">
        <v>6292</v>
      </c>
      <c r="J4" s="284">
        <v>7367</v>
      </c>
      <c r="K4" s="284">
        <v>8099</v>
      </c>
      <c r="L4" s="83"/>
    </row>
    <row r="5" spans="1:12" ht="19" x14ac:dyDescent="0.25">
      <c r="A5" s="283" t="s">
        <v>347</v>
      </c>
      <c r="B5" s="284">
        <v>1255</v>
      </c>
      <c r="C5" s="284">
        <v>1370</v>
      </c>
      <c r="D5" s="284">
        <v>1437</v>
      </c>
      <c r="E5" s="284">
        <v>1492</v>
      </c>
      <c r="F5" s="284">
        <v>1645</v>
      </c>
      <c r="G5" s="284">
        <v>1781</v>
      </c>
      <c r="H5" s="284">
        <v>1900</v>
      </c>
      <c r="I5" s="284">
        <v>2077</v>
      </c>
      <c r="J5" s="284">
        <v>2237</v>
      </c>
      <c r="K5" s="284">
        <v>2426</v>
      </c>
      <c r="L5" s="83"/>
    </row>
    <row r="6" spans="1:12" ht="19" x14ac:dyDescent="0.25">
      <c r="A6" s="283" t="s">
        <v>348</v>
      </c>
      <c r="B6" s="284">
        <v>1255</v>
      </c>
      <c r="C6" s="284">
        <v>1370</v>
      </c>
      <c r="D6" s="284">
        <v>1437</v>
      </c>
      <c r="E6" s="284">
        <v>1492</v>
      </c>
      <c r="F6" s="284">
        <v>1645</v>
      </c>
      <c r="G6" s="284">
        <v>1781</v>
      </c>
      <c r="H6" s="284">
        <v>1900</v>
      </c>
      <c r="I6" s="284">
        <v>2077</v>
      </c>
      <c r="J6" s="284">
        <v>2237</v>
      </c>
      <c r="K6" s="284">
        <v>2426</v>
      </c>
      <c r="L6" s="83"/>
    </row>
    <row r="7" spans="1:12" ht="19" x14ac:dyDescent="0.25">
      <c r="A7" s="281" t="s">
        <v>349</v>
      </c>
      <c r="B7" s="289"/>
      <c r="C7" s="289"/>
      <c r="D7" s="289"/>
      <c r="E7" s="289"/>
      <c r="F7" s="289"/>
      <c r="G7" s="289"/>
      <c r="H7" s="289"/>
      <c r="I7" s="289"/>
      <c r="J7" s="289"/>
      <c r="K7" s="289"/>
      <c r="L7" s="83"/>
    </row>
    <row r="8" spans="1:12" ht="19" x14ac:dyDescent="0.25">
      <c r="A8" s="281" t="s">
        <v>350</v>
      </c>
      <c r="B8" s="289"/>
      <c r="C8" s="289"/>
      <c r="D8" s="289"/>
      <c r="E8" s="289"/>
      <c r="F8" s="289"/>
      <c r="G8" s="289"/>
      <c r="H8" s="289"/>
      <c r="I8" s="289"/>
      <c r="J8" s="289"/>
      <c r="K8" s="289"/>
      <c r="L8" s="83"/>
    </row>
    <row r="9" spans="1:12" ht="19" x14ac:dyDescent="0.25">
      <c r="A9" s="281" t="s">
        <v>351</v>
      </c>
      <c r="B9" s="291">
        <v>459</v>
      </c>
      <c r="C9" s="291">
        <v>514</v>
      </c>
      <c r="D9" s="291">
        <v>544</v>
      </c>
      <c r="E9" s="291">
        <v>595</v>
      </c>
      <c r="F9" s="291">
        <v>619</v>
      </c>
      <c r="G9" s="291">
        <v>665</v>
      </c>
      <c r="H9" s="291">
        <v>724</v>
      </c>
      <c r="I9" s="291">
        <v>774</v>
      </c>
      <c r="J9" s="291">
        <v>818</v>
      </c>
      <c r="K9" s="291">
        <v>860</v>
      </c>
      <c r="L9" s="83"/>
    </row>
    <row r="10" spans="1:12" ht="19" x14ac:dyDescent="0.25">
      <c r="A10" s="281" t="s">
        <v>352</v>
      </c>
      <c r="B10" s="291">
        <v>269</v>
      </c>
      <c r="C10" s="288">
        <v>-29</v>
      </c>
      <c r="D10" s="288">
        <v>-49</v>
      </c>
      <c r="E10" s="291">
        <v>147</v>
      </c>
      <c r="F10" s="291">
        <v>104</v>
      </c>
      <c r="G10" s="291">
        <v>59</v>
      </c>
      <c r="H10" s="288">
        <v>-37</v>
      </c>
      <c r="I10" s="289"/>
      <c r="J10" s="289"/>
      <c r="K10" s="289"/>
      <c r="L10" s="83"/>
    </row>
    <row r="11" spans="1:12" ht="19" x14ac:dyDescent="0.25">
      <c r="A11" s="281" t="s">
        <v>353</v>
      </c>
      <c r="B11" s="289"/>
      <c r="C11" s="289"/>
      <c r="D11" s="289"/>
      <c r="E11" s="289"/>
      <c r="F11" s="289"/>
      <c r="G11" s="291">
        <v>144</v>
      </c>
      <c r="H11" s="291">
        <v>39</v>
      </c>
      <c r="I11" s="291">
        <v>495</v>
      </c>
      <c r="J11" s="288">
        <v>-9</v>
      </c>
      <c r="K11" s="288">
        <v>-117</v>
      </c>
      <c r="L11" s="83"/>
    </row>
    <row r="12" spans="1:12" ht="19" x14ac:dyDescent="0.25">
      <c r="A12" s="281" t="s">
        <v>354</v>
      </c>
      <c r="B12" s="288">
        <v>-74</v>
      </c>
      <c r="C12" s="288">
        <v>-38</v>
      </c>
      <c r="D12" s="289"/>
      <c r="E12" s="289"/>
      <c r="F12" s="289"/>
      <c r="G12" s="289"/>
      <c r="H12" s="289"/>
      <c r="I12" s="289"/>
      <c r="J12" s="289"/>
      <c r="K12" s="289"/>
      <c r="L12" s="83"/>
    </row>
    <row r="13" spans="1:12" ht="19" x14ac:dyDescent="0.25">
      <c r="A13" s="281" t="s">
        <v>355</v>
      </c>
      <c r="B13" s="289"/>
      <c r="C13" s="289"/>
      <c r="D13" s="289"/>
      <c r="E13" s="289"/>
      <c r="F13" s="289"/>
      <c r="G13" s="289"/>
      <c r="H13" s="289"/>
      <c r="I13" s="289"/>
      <c r="J13" s="289"/>
      <c r="K13" s="289"/>
      <c r="L13" s="83"/>
    </row>
    <row r="14" spans="1:12" ht="19" x14ac:dyDescent="0.25">
      <c r="A14" s="281" t="s">
        <v>356</v>
      </c>
      <c r="B14" s="288">
        <v>-25</v>
      </c>
      <c r="C14" s="288">
        <v>-894</v>
      </c>
      <c r="D14" s="287">
        <v>-1313</v>
      </c>
      <c r="E14" s="288">
        <v>-536</v>
      </c>
      <c r="F14" s="288">
        <v>-791</v>
      </c>
      <c r="G14" s="287">
        <v>-1892</v>
      </c>
      <c r="H14" s="287">
        <v>-4003</v>
      </c>
      <c r="I14" s="282">
        <v>1228</v>
      </c>
      <c r="J14" s="287">
        <v>-2068</v>
      </c>
      <c r="K14" s="291">
        <v>559</v>
      </c>
      <c r="L14" s="83"/>
    </row>
    <row r="15" spans="1:12" ht="19" x14ac:dyDescent="0.25">
      <c r="A15" s="281" t="s">
        <v>357</v>
      </c>
      <c r="B15" s="287">
        <v>-1532</v>
      </c>
      <c r="C15" s="282">
        <v>2258</v>
      </c>
      <c r="D15" s="282">
        <v>1561</v>
      </c>
      <c r="E15" s="291">
        <v>322</v>
      </c>
      <c r="F15" s="282">
        <v>2261</v>
      </c>
      <c r="G15" s="282">
        <v>1838</v>
      </c>
      <c r="H15" s="282">
        <v>1891</v>
      </c>
      <c r="I15" s="288">
        <v>-382</v>
      </c>
      <c r="J15" s="282">
        <v>1938</v>
      </c>
      <c r="K15" s="291">
        <v>404</v>
      </c>
      <c r="L15" s="83"/>
    </row>
    <row r="16" spans="1:12" ht="19" x14ac:dyDescent="0.25">
      <c r="A16" s="281" t="s">
        <v>358</v>
      </c>
      <c r="B16" s="287">
        <v>-1532</v>
      </c>
      <c r="C16" s="282">
        <v>2258</v>
      </c>
      <c r="D16" s="282">
        <v>1561</v>
      </c>
      <c r="E16" s="291">
        <v>322</v>
      </c>
      <c r="F16" s="282">
        <v>2261</v>
      </c>
      <c r="G16" s="282">
        <v>1838</v>
      </c>
      <c r="H16" s="282">
        <v>1891</v>
      </c>
      <c r="I16" s="288">
        <v>-382</v>
      </c>
      <c r="J16" s="282">
        <v>1938</v>
      </c>
      <c r="K16" s="291">
        <v>404</v>
      </c>
      <c r="L16" s="83"/>
    </row>
    <row r="17" spans="1:12" ht="19" x14ac:dyDescent="0.25">
      <c r="A17" s="281" t="s">
        <v>359</v>
      </c>
      <c r="B17" s="289"/>
      <c r="C17" s="289"/>
      <c r="D17" s="289"/>
      <c r="E17" s="289"/>
      <c r="F17" s="289"/>
      <c r="G17" s="289"/>
      <c r="H17" s="289"/>
      <c r="I17" s="289"/>
      <c r="J17" s="289"/>
      <c r="K17" s="289"/>
      <c r="L17" s="83"/>
    </row>
    <row r="18" spans="1:12" ht="19" x14ac:dyDescent="0.25">
      <c r="A18" s="281" t="s">
        <v>360</v>
      </c>
      <c r="B18" s="289"/>
      <c r="C18" s="289"/>
      <c r="D18" s="289"/>
      <c r="E18" s="289"/>
      <c r="F18" s="289"/>
      <c r="G18" s="289"/>
      <c r="H18" s="289"/>
      <c r="I18" s="289"/>
      <c r="J18" s="289"/>
      <c r="K18" s="289"/>
      <c r="L18" s="83"/>
    </row>
    <row r="19" spans="1:12" ht="19" x14ac:dyDescent="0.25">
      <c r="A19" s="281" t="s">
        <v>361</v>
      </c>
      <c r="B19" s="291">
        <v>547</v>
      </c>
      <c r="C19" s="291">
        <v>807</v>
      </c>
      <c r="D19" s="291">
        <v>421</v>
      </c>
      <c r="E19" s="291">
        <v>623</v>
      </c>
      <c r="F19" s="291">
        <v>728</v>
      </c>
      <c r="G19" s="282">
        <v>1057</v>
      </c>
      <c r="H19" s="291">
        <v>549</v>
      </c>
      <c r="I19" s="291">
        <v>172</v>
      </c>
      <c r="J19" s="291">
        <v>741</v>
      </c>
      <c r="K19" s="291">
        <v>801</v>
      </c>
      <c r="L19" s="83"/>
    </row>
    <row r="20" spans="1:12" ht="19" x14ac:dyDescent="0.25">
      <c r="A20" s="281" t="s">
        <v>362</v>
      </c>
      <c r="B20" s="282">
        <v>1549</v>
      </c>
      <c r="C20" s="287">
        <v>-2234</v>
      </c>
      <c r="D20" s="287">
        <v>-1567</v>
      </c>
      <c r="E20" s="288">
        <v>-313</v>
      </c>
      <c r="F20" s="287">
        <v>-2025</v>
      </c>
      <c r="G20" s="287">
        <v>-1611</v>
      </c>
      <c r="H20" s="287">
        <v>-1477</v>
      </c>
      <c r="I20" s="291">
        <v>794</v>
      </c>
      <c r="J20" s="287">
        <v>-1623</v>
      </c>
      <c r="K20" s="288">
        <v>-101</v>
      </c>
      <c r="L20" s="83"/>
    </row>
    <row r="21" spans="1:12" ht="19" x14ac:dyDescent="0.25">
      <c r="A21" s="283" t="s">
        <v>363</v>
      </c>
      <c r="B21" s="284">
        <v>3292</v>
      </c>
      <c r="C21" s="284">
        <v>6726</v>
      </c>
      <c r="D21" s="284">
        <v>5774</v>
      </c>
      <c r="E21" s="284">
        <v>6356</v>
      </c>
      <c r="F21" s="284">
        <v>8861</v>
      </c>
      <c r="G21" s="284">
        <v>8958</v>
      </c>
      <c r="H21" s="284">
        <v>7392</v>
      </c>
      <c r="I21" s="284">
        <v>11068</v>
      </c>
      <c r="J21" s="284">
        <v>11339</v>
      </c>
      <c r="K21" s="284">
        <v>13335</v>
      </c>
      <c r="L21" s="83"/>
    </row>
    <row r="22" spans="1:12" ht="19" x14ac:dyDescent="0.25">
      <c r="A22" s="283" t="s">
        <v>364</v>
      </c>
      <c r="B22" s="284">
        <v>3292</v>
      </c>
      <c r="C22" s="284">
        <v>6726</v>
      </c>
      <c r="D22" s="284">
        <v>5774</v>
      </c>
      <c r="E22" s="284">
        <v>6356</v>
      </c>
      <c r="F22" s="284">
        <v>8861</v>
      </c>
      <c r="G22" s="284">
        <v>8958</v>
      </c>
      <c r="H22" s="284">
        <v>7392</v>
      </c>
      <c r="I22" s="284">
        <v>11068</v>
      </c>
      <c r="J22" s="284">
        <v>11339</v>
      </c>
      <c r="K22" s="284">
        <v>13335</v>
      </c>
      <c r="L22" s="83"/>
    </row>
    <row r="23" spans="1:12" ht="19" x14ac:dyDescent="0.25">
      <c r="A23" s="292" t="s">
        <v>365</v>
      </c>
      <c r="B23" s="301">
        <v>-1010</v>
      </c>
      <c r="C23" s="299">
        <v>2171</v>
      </c>
      <c r="D23" s="300">
        <v>669</v>
      </c>
      <c r="E23" s="300">
        <v>409</v>
      </c>
      <c r="F23" s="299">
        <v>2198</v>
      </c>
      <c r="G23" s="299">
        <v>1003</v>
      </c>
      <c r="H23" s="301">
        <v>-1563</v>
      </c>
      <c r="I23" s="299">
        <v>1018</v>
      </c>
      <c r="J23" s="300">
        <v>611</v>
      </c>
      <c r="K23" s="299">
        <v>1764</v>
      </c>
      <c r="L23" s="83"/>
    </row>
    <row r="24" spans="1:12" ht="19" x14ac:dyDescent="0.25">
      <c r="A24" s="281" t="s">
        <v>366</v>
      </c>
      <c r="B24" s="287">
        <v>-2649</v>
      </c>
      <c r="C24" s="287">
        <v>-2502</v>
      </c>
      <c r="D24" s="287">
        <v>-2969</v>
      </c>
      <c r="E24" s="287">
        <v>-2998</v>
      </c>
      <c r="F24" s="287">
        <v>-2810</v>
      </c>
      <c r="G24" s="287">
        <v>-3588</v>
      </c>
      <c r="H24" s="287">
        <v>-3891</v>
      </c>
      <c r="I24" s="287">
        <v>-4323</v>
      </c>
      <c r="J24" s="287">
        <v>-4710</v>
      </c>
      <c r="K24" s="287">
        <v>-5498</v>
      </c>
      <c r="L24" s="83"/>
    </row>
    <row r="25" spans="1:12" ht="19" x14ac:dyDescent="0.25">
      <c r="A25" s="281" t="s">
        <v>367</v>
      </c>
      <c r="B25" s="289"/>
      <c r="C25" s="289"/>
      <c r="D25" s="289"/>
      <c r="E25" s="289"/>
      <c r="F25" s="289"/>
      <c r="G25" s="289"/>
      <c r="H25" s="289"/>
      <c r="I25" s="289"/>
      <c r="J25" s="289"/>
      <c r="K25" s="289"/>
      <c r="L25" s="83"/>
    </row>
    <row r="26" spans="1:12" ht="19" x14ac:dyDescent="0.25">
      <c r="A26" s="283" t="s">
        <v>368</v>
      </c>
      <c r="B26" s="290">
        <v>-2649</v>
      </c>
      <c r="C26" s="290">
        <v>-2502</v>
      </c>
      <c r="D26" s="290">
        <v>-2969</v>
      </c>
      <c r="E26" s="290">
        <v>-2998</v>
      </c>
      <c r="F26" s="290">
        <v>-2810</v>
      </c>
      <c r="G26" s="290">
        <v>-3588</v>
      </c>
      <c r="H26" s="290">
        <v>-3891</v>
      </c>
      <c r="I26" s="290">
        <v>-4323</v>
      </c>
      <c r="J26" s="290">
        <v>-4710</v>
      </c>
      <c r="K26" s="290">
        <v>-5498</v>
      </c>
      <c r="L26" s="83"/>
    </row>
    <row r="27" spans="1:12" ht="19" x14ac:dyDescent="0.25">
      <c r="A27" s="281" t="s">
        <v>369</v>
      </c>
      <c r="B27" s="289"/>
      <c r="C27" s="289"/>
      <c r="D27" s="289"/>
      <c r="E27" s="289"/>
      <c r="F27" s="287">
        <v>-1163</v>
      </c>
      <c r="G27" s="289"/>
      <c r="H27" s="289"/>
      <c r="I27" s="289"/>
      <c r="J27" s="289"/>
      <c r="K27" s="289"/>
      <c r="L27" s="83"/>
    </row>
    <row r="28" spans="1:12" ht="19" x14ac:dyDescent="0.25">
      <c r="A28" s="281" t="s">
        <v>370</v>
      </c>
      <c r="B28" s="289"/>
      <c r="C28" s="289"/>
      <c r="D28" s="289"/>
      <c r="E28" s="289"/>
      <c r="F28" s="289"/>
      <c r="G28" s="289"/>
      <c r="H28" s="289"/>
      <c r="I28" s="289"/>
      <c r="J28" s="289"/>
      <c r="K28" s="289"/>
      <c r="L28" s="83"/>
    </row>
    <row r="29" spans="1:12" ht="19" x14ac:dyDescent="0.25">
      <c r="A29" s="283" t="s">
        <v>371</v>
      </c>
      <c r="B29" s="302"/>
      <c r="C29" s="302"/>
      <c r="D29" s="302"/>
      <c r="E29" s="302"/>
      <c r="F29" s="290">
        <v>-1163</v>
      </c>
      <c r="G29" s="302"/>
      <c r="H29" s="302"/>
      <c r="I29" s="302"/>
      <c r="J29" s="302"/>
      <c r="K29" s="302"/>
      <c r="L29" s="83"/>
    </row>
    <row r="30" spans="1:12" ht="19" x14ac:dyDescent="0.25">
      <c r="A30" s="281" t="s">
        <v>372</v>
      </c>
      <c r="B30" s="291">
        <v>277</v>
      </c>
      <c r="C30" s="291">
        <v>106</v>
      </c>
      <c r="D30" s="291">
        <v>18</v>
      </c>
      <c r="E30" s="291">
        <v>137</v>
      </c>
      <c r="F30" s="291">
        <v>52</v>
      </c>
      <c r="G30" s="291">
        <v>115</v>
      </c>
      <c r="H30" s="291">
        <v>24</v>
      </c>
      <c r="I30" s="288">
        <v>-685</v>
      </c>
      <c r="J30" s="291">
        <v>320</v>
      </c>
      <c r="K30" s="291">
        <v>113</v>
      </c>
      <c r="L30" s="83"/>
    </row>
    <row r="31" spans="1:12" ht="19" x14ac:dyDescent="0.25">
      <c r="A31" s="281" t="s">
        <v>373</v>
      </c>
      <c r="B31" s="291">
        <v>27</v>
      </c>
      <c r="C31" s="291">
        <v>30</v>
      </c>
      <c r="D31" s="291">
        <v>4</v>
      </c>
      <c r="E31" s="288">
        <v>-4</v>
      </c>
      <c r="F31" s="291">
        <v>30</v>
      </c>
      <c r="G31" s="288">
        <v>-62</v>
      </c>
      <c r="H31" s="288">
        <v>-48</v>
      </c>
      <c r="I31" s="291">
        <v>36</v>
      </c>
      <c r="J31" s="288">
        <v>-19</v>
      </c>
      <c r="K31" s="291">
        <v>74</v>
      </c>
      <c r="L31" s="83"/>
    </row>
    <row r="32" spans="1:12" ht="19" x14ac:dyDescent="0.25">
      <c r="A32" s="283" t="s">
        <v>374</v>
      </c>
      <c r="B32" s="290">
        <v>-2345</v>
      </c>
      <c r="C32" s="290">
        <v>-2366</v>
      </c>
      <c r="D32" s="290">
        <v>-2947</v>
      </c>
      <c r="E32" s="290">
        <v>-2865</v>
      </c>
      <c r="F32" s="290">
        <v>-3891</v>
      </c>
      <c r="G32" s="290">
        <v>-3535</v>
      </c>
      <c r="H32" s="290">
        <v>-3915</v>
      </c>
      <c r="I32" s="290">
        <v>-4972</v>
      </c>
      <c r="J32" s="290">
        <v>-4409</v>
      </c>
      <c r="K32" s="290">
        <v>-5311</v>
      </c>
      <c r="L32" s="83"/>
    </row>
    <row r="33" spans="1:12" ht="19" x14ac:dyDescent="0.25">
      <c r="A33" s="283" t="s">
        <v>375</v>
      </c>
      <c r="B33" s="290">
        <v>-2345</v>
      </c>
      <c r="C33" s="290">
        <v>-2366</v>
      </c>
      <c r="D33" s="290">
        <v>-2947</v>
      </c>
      <c r="E33" s="290">
        <v>-2865</v>
      </c>
      <c r="F33" s="290">
        <v>-3891</v>
      </c>
      <c r="G33" s="290">
        <v>-3535</v>
      </c>
      <c r="H33" s="290">
        <v>-3915</v>
      </c>
      <c r="I33" s="290">
        <v>-4972</v>
      </c>
      <c r="J33" s="290">
        <v>-4409</v>
      </c>
      <c r="K33" s="290">
        <v>-5311</v>
      </c>
      <c r="L33" s="83"/>
    </row>
    <row r="34" spans="1:12" ht="19" x14ac:dyDescent="0.25">
      <c r="A34" s="281" t="s">
        <v>376</v>
      </c>
      <c r="B34" s="291">
        <v>187</v>
      </c>
      <c r="C34" s="289"/>
      <c r="D34" s="291">
        <v>80</v>
      </c>
      <c r="E34" s="289"/>
      <c r="F34" s="289"/>
      <c r="G34" s="291">
        <v>41</v>
      </c>
      <c r="H34" s="291">
        <v>53</v>
      </c>
      <c r="I34" s="291">
        <v>917</v>
      </c>
      <c r="J34" s="291">
        <v>928</v>
      </c>
      <c r="K34" s="291">
        <v>816</v>
      </c>
      <c r="L34" s="83"/>
    </row>
    <row r="35" spans="1:12" ht="19" x14ac:dyDescent="0.25">
      <c r="A35" s="281" t="s">
        <v>377</v>
      </c>
      <c r="B35" s="291">
        <v>185</v>
      </c>
      <c r="C35" s="282">
        <v>3782</v>
      </c>
      <c r="D35" s="291">
        <v>80</v>
      </c>
      <c r="E35" s="291">
        <v>508</v>
      </c>
      <c r="F35" s="282">
        <v>3992</v>
      </c>
      <c r="G35" s="291">
        <v>188</v>
      </c>
      <c r="H35" s="289"/>
      <c r="I35" s="289"/>
      <c r="J35" s="291">
        <v>498</v>
      </c>
      <c r="K35" s="289"/>
      <c r="L35" s="83"/>
    </row>
    <row r="36" spans="1:12" ht="19" x14ac:dyDescent="0.25">
      <c r="A36" s="283" t="s">
        <v>378</v>
      </c>
      <c r="B36" s="303">
        <v>372</v>
      </c>
      <c r="C36" s="284">
        <v>3782</v>
      </c>
      <c r="D36" s="303">
        <v>80</v>
      </c>
      <c r="E36" s="303">
        <v>508</v>
      </c>
      <c r="F36" s="284">
        <v>3992</v>
      </c>
      <c r="G36" s="303">
        <v>41</v>
      </c>
      <c r="H36" s="303">
        <v>53</v>
      </c>
      <c r="I36" s="303">
        <v>917</v>
      </c>
      <c r="J36" s="284">
        <v>1426</v>
      </c>
      <c r="K36" s="303">
        <v>816</v>
      </c>
      <c r="L36" s="83"/>
    </row>
    <row r="37" spans="1:12" ht="19" x14ac:dyDescent="0.25">
      <c r="A37" s="281" t="s">
        <v>379</v>
      </c>
      <c r="B37" s="288">
        <v>-106</v>
      </c>
      <c r="C37" s="288">
        <v>-236</v>
      </c>
      <c r="D37" s="289"/>
      <c r="E37" s="289"/>
      <c r="F37" s="289"/>
      <c r="G37" s="289"/>
      <c r="H37" s="288">
        <v>-6</v>
      </c>
      <c r="I37" s="288">
        <v>-935</v>
      </c>
      <c r="J37" s="288">
        <v>-920</v>
      </c>
      <c r="K37" s="288">
        <v>-862</v>
      </c>
      <c r="L37" s="83"/>
    </row>
    <row r="38" spans="1:12" ht="19" x14ac:dyDescent="0.25">
      <c r="A38" s="281" t="s">
        <v>380</v>
      </c>
      <c r="B38" s="287">
        <v>-1288</v>
      </c>
      <c r="C38" s="287">
        <v>-2436</v>
      </c>
      <c r="D38" s="288">
        <v>-86</v>
      </c>
      <c r="E38" s="288">
        <v>-89</v>
      </c>
      <c r="F38" s="287">
        <v>-3200</v>
      </c>
      <c r="G38" s="288">
        <v>-161</v>
      </c>
      <c r="H38" s="288">
        <v>-980</v>
      </c>
      <c r="I38" s="288">
        <v>-366</v>
      </c>
      <c r="J38" s="287">
        <v>-1214</v>
      </c>
      <c r="K38" s="288">
        <v>-250</v>
      </c>
      <c r="L38" s="83"/>
    </row>
    <row r="39" spans="1:12" ht="19" x14ac:dyDescent="0.25">
      <c r="A39" s="283" t="s">
        <v>381</v>
      </c>
      <c r="B39" s="290">
        <v>-1394</v>
      </c>
      <c r="C39" s="290">
        <v>-2436</v>
      </c>
      <c r="D39" s="304">
        <v>-86</v>
      </c>
      <c r="E39" s="304">
        <v>-89</v>
      </c>
      <c r="F39" s="290">
        <v>-3200</v>
      </c>
      <c r="G39" s="304">
        <v>-161</v>
      </c>
      <c r="H39" s="304">
        <v>-986</v>
      </c>
      <c r="I39" s="290">
        <v>-1301</v>
      </c>
      <c r="J39" s="290">
        <v>-2134</v>
      </c>
      <c r="K39" s="290">
        <v>-1112</v>
      </c>
      <c r="L39" s="83"/>
    </row>
    <row r="40" spans="1:12" ht="19" x14ac:dyDescent="0.25">
      <c r="A40" s="281" t="s">
        <v>382</v>
      </c>
      <c r="B40" s="289"/>
      <c r="C40" s="289"/>
      <c r="D40" s="289"/>
      <c r="E40" s="289"/>
      <c r="F40" s="289"/>
      <c r="G40" s="289"/>
      <c r="H40" s="289"/>
      <c r="I40" s="289"/>
      <c r="J40" s="289"/>
      <c r="K40" s="289"/>
      <c r="L40" s="83"/>
    </row>
    <row r="41" spans="1:12" ht="19" x14ac:dyDescent="0.25">
      <c r="A41" s="281" t="s">
        <v>383</v>
      </c>
      <c r="B41" s="288">
        <v>-486</v>
      </c>
      <c r="C41" s="288">
        <v>-469</v>
      </c>
      <c r="D41" s="288">
        <v>-328</v>
      </c>
      <c r="E41" s="288">
        <v>-247</v>
      </c>
      <c r="F41" s="288">
        <v>-196</v>
      </c>
      <c r="G41" s="288">
        <v>-496</v>
      </c>
      <c r="H41" s="288">
        <v>-439</v>
      </c>
      <c r="I41" s="288">
        <v>-676</v>
      </c>
      <c r="J41" s="288">
        <v>-700</v>
      </c>
      <c r="K41" s="288">
        <v>-903</v>
      </c>
      <c r="L41" s="83"/>
    </row>
    <row r="42" spans="1:12" ht="19" x14ac:dyDescent="0.25">
      <c r="A42" s="281" t="s">
        <v>384</v>
      </c>
      <c r="B42" s="288">
        <v>-746</v>
      </c>
      <c r="C42" s="287">
        <v>-3904</v>
      </c>
      <c r="D42" s="288">
        <v>-689</v>
      </c>
      <c r="E42" s="287">
        <v>-1038</v>
      </c>
      <c r="F42" s="287">
        <v>-1479</v>
      </c>
      <c r="G42" s="287">
        <v>-5748</v>
      </c>
      <c r="H42" s="287">
        <v>-1498</v>
      </c>
      <c r="I42" s="287">
        <v>-1251</v>
      </c>
      <c r="J42" s="289"/>
      <c r="K42" s="289"/>
      <c r="L42" s="83"/>
    </row>
    <row r="43" spans="1:12" ht="19" x14ac:dyDescent="0.25">
      <c r="A43" s="283" t="s">
        <v>385</v>
      </c>
      <c r="B43" s="304">
        <v>-746</v>
      </c>
      <c r="C43" s="290">
        <v>-3904</v>
      </c>
      <c r="D43" s="304">
        <v>-689</v>
      </c>
      <c r="E43" s="290">
        <v>-1038</v>
      </c>
      <c r="F43" s="290">
        <v>-1479</v>
      </c>
      <c r="G43" s="290">
        <v>-5748</v>
      </c>
      <c r="H43" s="290">
        <v>-1498</v>
      </c>
      <c r="I43" s="290">
        <v>-1251</v>
      </c>
      <c r="J43" s="290">
        <v>-9041</v>
      </c>
      <c r="K43" s="290">
        <v>-2183</v>
      </c>
      <c r="L43" s="83"/>
    </row>
    <row r="44" spans="1:12" ht="19" x14ac:dyDescent="0.25">
      <c r="A44" s="281" t="s">
        <v>386</v>
      </c>
      <c r="B44" s="289"/>
      <c r="C44" s="289"/>
      <c r="D44" s="289"/>
      <c r="E44" s="289"/>
      <c r="F44" s="289"/>
      <c r="G44" s="289"/>
      <c r="H44" s="289"/>
      <c r="I44" s="289"/>
      <c r="J44" s="289"/>
      <c r="K44" s="289"/>
      <c r="L44" s="83"/>
    </row>
    <row r="45" spans="1:12" ht="19" x14ac:dyDescent="0.25">
      <c r="A45" s="281" t="s">
        <v>387</v>
      </c>
      <c r="B45" s="288">
        <v>-165</v>
      </c>
      <c r="C45" s="288">
        <v>-191</v>
      </c>
      <c r="D45" s="288">
        <v>-258</v>
      </c>
      <c r="E45" s="288">
        <v>-281</v>
      </c>
      <c r="F45" s="288">
        <v>-264</v>
      </c>
      <c r="G45" s="288">
        <v>-124</v>
      </c>
      <c r="H45" s="287">
        <v>-1413</v>
      </c>
      <c r="I45" s="288">
        <v>-303</v>
      </c>
      <c r="J45" s="288">
        <v>-315</v>
      </c>
      <c r="K45" s="288">
        <v>-393</v>
      </c>
      <c r="L45" s="83"/>
    </row>
    <row r="46" spans="1:12" ht="19" x14ac:dyDescent="0.25">
      <c r="A46" s="281" t="s">
        <v>388</v>
      </c>
      <c r="B46" s="289"/>
      <c r="C46" s="289"/>
      <c r="D46" s="289"/>
      <c r="E46" s="289"/>
      <c r="F46" s="289"/>
      <c r="G46" s="289"/>
      <c r="H46" s="289"/>
      <c r="I46" s="289"/>
      <c r="J46" s="289"/>
      <c r="K46" s="289"/>
      <c r="L46" s="83"/>
    </row>
    <row r="47" spans="1:12" ht="19" x14ac:dyDescent="0.25">
      <c r="A47" s="283" t="s">
        <v>389</v>
      </c>
      <c r="B47" s="290">
        <v>-2419</v>
      </c>
      <c r="C47" s="290">
        <v>-3218</v>
      </c>
      <c r="D47" s="290">
        <v>-1281</v>
      </c>
      <c r="E47" s="290">
        <v>-1147</v>
      </c>
      <c r="F47" s="290">
        <v>-1147</v>
      </c>
      <c r="G47" s="290">
        <v>-6488</v>
      </c>
      <c r="H47" s="290">
        <v>-4283</v>
      </c>
      <c r="I47" s="290">
        <v>-2614</v>
      </c>
      <c r="J47" s="290">
        <v>-10764</v>
      </c>
      <c r="K47" s="290">
        <v>-3775</v>
      </c>
      <c r="L47" s="83"/>
    </row>
    <row r="48" spans="1:12" ht="19" x14ac:dyDescent="0.25">
      <c r="A48" s="281" t="s">
        <v>390</v>
      </c>
      <c r="B48" s="287">
        <v>-1472</v>
      </c>
      <c r="C48" s="282">
        <v>1142</v>
      </c>
      <c r="D48" s="282">
        <v>1546</v>
      </c>
      <c r="E48" s="282">
        <v>2344</v>
      </c>
      <c r="F48" s="282">
        <v>3823</v>
      </c>
      <c r="G48" s="287">
        <v>-1065</v>
      </c>
      <c r="H48" s="288">
        <v>-806</v>
      </c>
      <c r="I48" s="282">
        <v>3482</v>
      </c>
      <c r="J48" s="287">
        <v>-3834</v>
      </c>
      <c r="K48" s="282">
        <v>4249</v>
      </c>
      <c r="L48" s="83"/>
    </row>
    <row r="49" spans="1:12" ht="19" x14ac:dyDescent="0.25">
      <c r="A49" s="281" t="s">
        <v>391</v>
      </c>
      <c r="B49" s="291">
        <v>50</v>
      </c>
      <c r="C49" s="291">
        <v>25</v>
      </c>
      <c r="D49" s="288">
        <v>-37</v>
      </c>
      <c r="E49" s="288">
        <v>-15</v>
      </c>
      <c r="F49" s="291">
        <v>70</v>
      </c>
      <c r="G49" s="291">
        <v>46</v>
      </c>
      <c r="H49" s="288">
        <v>-249</v>
      </c>
      <c r="I49" s="291">
        <v>15</v>
      </c>
      <c r="J49" s="291">
        <v>40</v>
      </c>
      <c r="K49" s="291">
        <v>6</v>
      </c>
      <c r="L49" s="83"/>
    </row>
    <row r="50" spans="1:12" ht="19" x14ac:dyDescent="0.25">
      <c r="A50" s="281" t="s">
        <v>392</v>
      </c>
      <c r="B50" s="282">
        <v>4801</v>
      </c>
      <c r="C50" s="282">
        <v>3379</v>
      </c>
      <c r="D50" s="282">
        <v>4546</v>
      </c>
      <c r="E50" s="282">
        <v>6055</v>
      </c>
      <c r="F50" s="282">
        <v>8384</v>
      </c>
      <c r="G50" s="282">
        <v>12277</v>
      </c>
      <c r="H50" s="282">
        <v>11258</v>
      </c>
      <c r="I50" s="282">
        <v>10203</v>
      </c>
      <c r="J50" s="282">
        <v>13700</v>
      </c>
      <c r="K50" s="282">
        <v>9906</v>
      </c>
      <c r="L50" s="83"/>
    </row>
    <row r="51" spans="1:12" ht="19" x14ac:dyDescent="0.25">
      <c r="A51" s="281" t="s">
        <v>393</v>
      </c>
      <c r="B51" s="282">
        <v>3379</v>
      </c>
      <c r="C51" s="282">
        <v>4546</v>
      </c>
      <c r="D51" s="282">
        <v>6055</v>
      </c>
      <c r="E51" s="282">
        <v>8384</v>
      </c>
      <c r="F51" s="282">
        <v>12277</v>
      </c>
      <c r="G51" s="282">
        <v>11258</v>
      </c>
      <c r="H51" s="282">
        <v>10203</v>
      </c>
      <c r="I51" s="282">
        <v>13700</v>
      </c>
      <c r="J51" s="282">
        <v>9906</v>
      </c>
      <c r="K51" s="282">
        <v>14161</v>
      </c>
      <c r="L51" s="83"/>
    </row>
    <row r="52" spans="1:12" ht="19" x14ac:dyDescent="0.25">
      <c r="A52" s="285" t="s">
        <v>262</v>
      </c>
      <c r="B52"/>
      <c r="C52"/>
      <c r="D52"/>
      <c r="E52"/>
      <c r="F52"/>
      <c r="G52"/>
      <c r="H52"/>
      <c r="I52"/>
      <c r="J52"/>
      <c r="K52"/>
      <c r="L52" s="82"/>
    </row>
    <row r="53" spans="1:12" ht="19" x14ac:dyDescent="0.25">
      <c r="A53" s="283" t="s">
        <v>394</v>
      </c>
      <c r="B53" s="303">
        <v>643</v>
      </c>
      <c r="C53" s="284">
        <v>4224</v>
      </c>
      <c r="D53" s="284">
        <v>2805</v>
      </c>
      <c r="E53" s="284">
        <v>3358</v>
      </c>
      <c r="F53" s="284">
        <v>6051</v>
      </c>
      <c r="G53" s="284">
        <v>5370</v>
      </c>
      <c r="H53" s="284">
        <v>3501</v>
      </c>
      <c r="I53" s="284">
        <v>6745</v>
      </c>
      <c r="J53" s="284">
        <v>6629</v>
      </c>
      <c r="K53" s="284">
        <v>7837</v>
      </c>
      <c r="L53" s="83"/>
    </row>
    <row r="54" spans="1:12" ht="19" x14ac:dyDescent="0.25">
      <c r="A54" s="285" t="s">
        <v>231</v>
      </c>
      <c r="B54" s="305">
        <v>-0.66</v>
      </c>
      <c r="C54" s="286">
        <v>5.569</v>
      </c>
      <c r="D54" s="305">
        <v>-0.33600000000000002</v>
      </c>
      <c r="E54" s="286">
        <v>0.19700000000000001</v>
      </c>
      <c r="F54" s="286">
        <v>0.80200000000000005</v>
      </c>
      <c r="G54" s="305">
        <v>-0.113</v>
      </c>
      <c r="H54" s="305">
        <v>-0.34799999999999998</v>
      </c>
      <c r="I54" s="286">
        <v>0.92700000000000005</v>
      </c>
      <c r="J54" s="305">
        <v>-1.7000000000000001E-2</v>
      </c>
      <c r="K54" s="286">
        <v>0.182</v>
      </c>
      <c r="L54" s="83"/>
    </row>
    <row r="55" spans="1:12" ht="19" x14ac:dyDescent="0.25">
      <c r="A55" s="285" t="s">
        <v>395</v>
      </c>
      <c r="B55" s="286">
        <v>5.0000000000000001E-3</v>
      </c>
      <c r="C55" s="286">
        <v>3.3000000000000002E-2</v>
      </c>
      <c r="D55" s="286">
        <v>0.02</v>
      </c>
      <c r="E55" s="286">
        <v>2.1999999999999999E-2</v>
      </c>
      <c r="F55" s="286">
        <v>3.5999999999999997E-2</v>
      </c>
      <c r="G55" s="286">
        <v>2.7E-2</v>
      </c>
      <c r="H55" s="286">
        <v>1.4999999999999999E-2</v>
      </c>
      <c r="I55" s="286">
        <v>2.8000000000000001E-2</v>
      </c>
      <c r="J55" s="286">
        <v>2.5999999999999999E-2</v>
      </c>
      <c r="K55" s="286">
        <v>2.8000000000000001E-2</v>
      </c>
      <c r="L55" s="83"/>
    </row>
    <row r="56" spans="1:12" ht="19" x14ac:dyDescent="0.25">
      <c r="A56" s="281" t="s">
        <v>396</v>
      </c>
      <c r="B56" s="287">
        <v>-1422</v>
      </c>
      <c r="C56" s="282">
        <v>1167</v>
      </c>
      <c r="D56" s="282">
        <v>1509</v>
      </c>
      <c r="E56" s="282">
        <v>2329</v>
      </c>
      <c r="F56" s="282">
        <v>3893</v>
      </c>
      <c r="G56" s="287">
        <v>-1019</v>
      </c>
      <c r="H56" s="287">
        <v>-1055</v>
      </c>
      <c r="I56" s="282">
        <v>3497</v>
      </c>
      <c r="J56" s="287">
        <v>-3794</v>
      </c>
      <c r="K56" s="282">
        <v>4255</v>
      </c>
      <c r="L56" s="83"/>
    </row>
    <row r="57" spans="1:12" ht="19" x14ac:dyDescent="0.25">
      <c r="A57" s="281" t="s">
        <v>397</v>
      </c>
      <c r="B57" s="282">
        <v>4302</v>
      </c>
      <c r="C57" s="282">
        <v>4555</v>
      </c>
      <c r="D57" s="282">
        <v>5105</v>
      </c>
      <c r="E57" s="282">
        <v>5947</v>
      </c>
      <c r="F57" s="282">
        <v>6663</v>
      </c>
      <c r="G57" s="282">
        <v>7955</v>
      </c>
      <c r="H57" s="282">
        <v>8955</v>
      </c>
      <c r="I57" s="282">
        <v>10050</v>
      </c>
      <c r="J57" s="282">
        <v>10728</v>
      </c>
      <c r="K57" s="282">
        <v>11571</v>
      </c>
      <c r="L57" s="83"/>
    </row>
    <row r="58" spans="1:12" ht="19" x14ac:dyDescent="0.25">
      <c r="A58" s="281" t="s">
        <v>398</v>
      </c>
      <c r="B58" s="291">
        <v>953</v>
      </c>
      <c r="C58" s="282">
        <v>1185</v>
      </c>
      <c r="D58" s="282">
        <v>1204</v>
      </c>
      <c r="E58" s="282">
        <v>1187</v>
      </c>
      <c r="F58" s="282">
        <v>1052</v>
      </c>
      <c r="G58" s="282">
        <v>1527</v>
      </c>
      <c r="H58" s="282">
        <v>1940</v>
      </c>
      <c r="I58" s="282">
        <v>2234</v>
      </c>
      <c r="J58" s="282">
        <v>2319</v>
      </c>
      <c r="K58" s="282">
        <v>2917</v>
      </c>
      <c r="L58" s="83"/>
    </row>
    <row r="59" spans="1:12" ht="19" x14ac:dyDescent="0.25">
      <c r="A59" s="281" t="s">
        <v>399</v>
      </c>
      <c r="B59" s="291">
        <v>123</v>
      </c>
      <c r="C59" s="291">
        <v>131</v>
      </c>
      <c r="D59" s="291">
        <v>143</v>
      </c>
      <c r="E59" s="291">
        <v>141</v>
      </c>
      <c r="F59" s="291">
        <v>124</v>
      </c>
      <c r="G59" s="291">
        <v>149</v>
      </c>
      <c r="H59" s="291">
        <v>145</v>
      </c>
      <c r="I59" s="291">
        <v>125</v>
      </c>
      <c r="J59" s="291">
        <v>129</v>
      </c>
      <c r="K59" s="291">
        <v>106</v>
      </c>
      <c r="L59" s="83"/>
    </row>
    <row r="60" spans="1:12" ht="16" x14ac:dyDescent="0.2">
      <c r="A60" s="297" t="s">
        <v>278</v>
      </c>
      <c r="B60"/>
      <c r="C60"/>
      <c r="D60"/>
      <c r="E60"/>
      <c r="F60"/>
      <c r="G60"/>
      <c r="H60"/>
      <c r="I60"/>
      <c r="J60"/>
      <c r="K60"/>
      <c r="L60" s="83"/>
    </row>
    <row r="61" spans="1:12" ht="16" x14ac:dyDescent="0.2">
      <c r="A61" s="297" t="s">
        <v>279</v>
      </c>
      <c r="B61"/>
      <c r="C61"/>
      <c r="D61"/>
      <c r="E61"/>
      <c r="F61"/>
      <c r="G61"/>
      <c r="H61"/>
      <c r="I61"/>
      <c r="J61"/>
      <c r="K61"/>
      <c r="L61" s="82"/>
    </row>
    <row r="62" spans="1:12" x14ac:dyDescent="0.2">
      <c r="A62" s="298" t="s">
        <v>280</v>
      </c>
      <c r="B62"/>
      <c r="C62"/>
      <c r="D62"/>
      <c r="E62"/>
      <c r="F62"/>
      <c r="G62"/>
      <c r="H62"/>
      <c r="I62"/>
      <c r="J62"/>
      <c r="K62"/>
      <c r="L62" s="83"/>
    </row>
    <row r="63" spans="1:12" x14ac:dyDescent="0.2">
      <c r="A63" s="298" t="s">
        <v>281</v>
      </c>
      <c r="B63"/>
      <c r="C63"/>
      <c r="D63"/>
      <c r="E63"/>
      <c r="F63"/>
      <c r="G63"/>
      <c r="H63"/>
      <c r="I63"/>
      <c r="J63"/>
      <c r="K63"/>
      <c r="L63" s="83"/>
    </row>
    <row r="64" spans="1:12" x14ac:dyDescent="0.2">
      <c r="A64" s="81"/>
      <c r="C64" s="82"/>
      <c r="D64" s="82"/>
      <c r="E64" s="82"/>
      <c r="F64" s="82"/>
      <c r="G64" s="82"/>
      <c r="H64" s="82"/>
      <c r="I64" s="82"/>
      <c r="J64" s="82"/>
      <c r="K64" s="82"/>
      <c r="L64" s="83"/>
    </row>
    <row r="65" spans="1:12" x14ac:dyDescent="0.2">
      <c r="A65" s="81"/>
      <c r="B65" s="83"/>
      <c r="C65" s="83"/>
      <c r="D65" s="83"/>
      <c r="E65" s="83"/>
      <c r="F65" s="83"/>
      <c r="G65" s="83"/>
      <c r="H65" s="83"/>
      <c r="I65" s="83"/>
      <c r="J65" s="83"/>
      <c r="K65" s="83"/>
      <c r="L65" s="83"/>
    </row>
    <row r="66" spans="1:12" x14ac:dyDescent="0.2">
      <c r="A66" s="81"/>
      <c r="B66" s="82"/>
      <c r="C66" s="82"/>
      <c r="D66" s="82"/>
      <c r="E66" s="82"/>
      <c r="F66" s="82"/>
      <c r="G66" s="82"/>
      <c r="H66" s="82"/>
      <c r="I66" s="82"/>
      <c r="J66" s="82"/>
      <c r="K66" s="82"/>
      <c r="L66" s="82"/>
    </row>
    <row r="67" spans="1:12" x14ac:dyDescent="0.2">
      <c r="A67" s="81"/>
      <c r="B67" s="82"/>
      <c r="C67" s="82"/>
      <c r="D67" s="82"/>
      <c r="E67" s="82"/>
      <c r="F67" s="82"/>
      <c r="G67" s="82"/>
      <c r="H67" s="82"/>
      <c r="I67" s="82"/>
      <c r="J67" s="82"/>
      <c r="K67" s="82"/>
      <c r="L67" s="82"/>
    </row>
    <row r="68" spans="1:12" x14ac:dyDescent="0.2">
      <c r="A68" s="81"/>
      <c r="B68" s="82"/>
      <c r="C68" s="82"/>
      <c r="D68" s="82"/>
      <c r="E68" s="82"/>
      <c r="F68" s="82"/>
      <c r="G68" s="82"/>
      <c r="H68" s="82"/>
      <c r="I68" s="82"/>
      <c r="J68" s="82"/>
      <c r="K68" s="83"/>
      <c r="L68" s="83"/>
    </row>
    <row r="69" spans="1:12" x14ac:dyDescent="0.2">
      <c r="A69" s="81"/>
      <c r="B69" s="82"/>
      <c r="C69" s="82"/>
      <c r="D69" s="82"/>
      <c r="E69" s="82"/>
      <c r="F69" s="82"/>
      <c r="G69" s="82"/>
      <c r="H69" s="82"/>
      <c r="I69" s="82"/>
      <c r="J69" s="82"/>
      <c r="K69" s="83"/>
      <c r="L69" s="83"/>
    </row>
    <row r="70" spans="1:12" x14ac:dyDescent="0.2">
      <c r="A70" s="81"/>
      <c r="B70" s="83"/>
      <c r="C70" s="83"/>
      <c r="D70" s="83"/>
      <c r="E70" s="83"/>
      <c r="F70" s="83"/>
      <c r="G70" s="83"/>
      <c r="H70" s="83"/>
      <c r="I70" s="83"/>
      <c r="J70" s="83"/>
      <c r="K70" s="83"/>
      <c r="L70" s="83"/>
    </row>
    <row r="71" spans="1:12" x14ac:dyDescent="0.2">
      <c r="A71" s="81"/>
      <c r="B71" s="82"/>
      <c r="C71" s="82"/>
      <c r="D71" s="82"/>
      <c r="E71" s="82"/>
      <c r="F71" s="82"/>
      <c r="G71" s="82"/>
      <c r="H71" s="82"/>
      <c r="I71" s="82"/>
      <c r="J71" s="82"/>
      <c r="K71" s="82"/>
      <c r="L71" s="82"/>
    </row>
    <row r="72" spans="1:12" x14ac:dyDescent="0.2">
      <c r="A72" s="81"/>
      <c r="B72" s="82"/>
      <c r="C72" s="82"/>
      <c r="D72" s="82"/>
      <c r="E72" s="82"/>
      <c r="F72" s="82"/>
      <c r="G72" s="82"/>
      <c r="H72" s="82"/>
      <c r="I72" s="82"/>
      <c r="J72" s="82"/>
      <c r="K72" s="82"/>
      <c r="L72" s="82"/>
    </row>
    <row r="73" spans="1:12" x14ac:dyDescent="0.2">
      <c r="A73" s="81"/>
      <c r="B73" s="82"/>
      <c r="C73" s="82"/>
      <c r="D73" s="82"/>
      <c r="E73" s="82"/>
      <c r="F73" s="82"/>
      <c r="G73" s="82"/>
      <c r="H73" s="82"/>
      <c r="I73" s="82"/>
      <c r="J73" s="82"/>
      <c r="K73" s="82"/>
      <c r="L73" s="82"/>
    </row>
    <row r="74" spans="1:12" x14ac:dyDescent="0.2">
      <c r="A74" s="81"/>
      <c r="B74" s="82"/>
      <c r="C74" s="82"/>
      <c r="D74" s="82"/>
      <c r="E74" s="82"/>
      <c r="F74" s="82"/>
      <c r="G74" s="82"/>
      <c r="H74" s="82"/>
      <c r="I74" s="82"/>
      <c r="J74" s="82"/>
      <c r="K74" s="82"/>
      <c r="L74" s="82"/>
    </row>
    <row r="75" spans="1:12" x14ac:dyDescent="0.2">
      <c r="A75" s="81"/>
      <c r="B75" s="82"/>
      <c r="C75" s="82"/>
      <c r="D75" s="82"/>
      <c r="E75" s="82"/>
      <c r="F75" s="82"/>
      <c r="G75" s="82"/>
      <c r="H75" s="82"/>
      <c r="I75" s="82"/>
      <c r="J75" s="82"/>
      <c r="K75" s="82"/>
      <c r="L75" s="82"/>
    </row>
    <row r="76" spans="1:12" x14ac:dyDescent="0.2">
      <c r="A76" s="81"/>
      <c r="B76" s="82"/>
      <c r="C76" s="82"/>
      <c r="D76" s="82"/>
      <c r="E76" s="82"/>
      <c r="F76" s="82"/>
      <c r="G76" s="82"/>
      <c r="H76" s="82"/>
      <c r="I76" s="82"/>
      <c r="J76" s="82"/>
      <c r="K76" s="82"/>
      <c r="L76" s="82"/>
    </row>
    <row r="77" spans="1:12" x14ac:dyDescent="0.2">
      <c r="A77" s="81"/>
      <c r="B77" s="82"/>
      <c r="C77" s="82"/>
      <c r="D77" s="82"/>
      <c r="E77" s="82"/>
      <c r="F77" s="82"/>
      <c r="G77" s="82"/>
      <c r="H77" s="82"/>
      <c r="I77" s="82"/>
      <c r="J77" s="82"/>
      <c r="K77" s="82"/>
      <c r="L77" s="82"/>
    </row>
    <row r="78" spans="1:12" x14ac:dyDescent="0.2">
      <c r="A78" s="81"/>
      <c r="B78" s="82"/>
      <c r="C78" s="82"/>
      <c r="D78" s="82"/>
      <c r="E78" s="82"/>
      <c r="F78" s="82"/>
      <c r="G78" s="82"/>
      <c r="H78" s="82"/>
      <c r="I78" s="82"/>
      <c r="J78" s="82"/>
      <c r="K78" s="82"/>
      <c r="L78" s="82"/>
    </row>
    <row r="79" spans="1:12" x14ac:dyDescent="0.2">
      <c r="A79" s="81"/>
      <c r="B79" s="82"/>
      <c r="C79" s="82"/>
      <c r="D79" s="82"/>
      <c r="E79" s="82"/>
      <c r="F79" s="82"/>
      <c r="G79" s="82"/>
      <c r="H79" s="82"/>
      <c r="I79" s="82"/>
      <c r="J79" s="82"/>
      <c r="K79" s="82"/>
      <c r="L79" s="82"/>
    </row>
    <row r="80" spans="1:12" x14ac:dyDescent="0.2">
      <c r="A80" s="81"/>
      <c r="B80" s="82"/>
      <c r="C80" s="82"/>
      <c r="D80" s="82"/>
      <c r="E80" s="82"/>
      <c r="F80" s="82"/>
      <c r="G80" s="82"/>
      <c r="H80" s="82"/>
      <c r="I80" s="82"/>
      <c r="J80" s="82"/>
      <c r="K80" s="82"/>
      <c r="L80" s="82"/>
    </row>
    <row r="81" spans="1:12" x14ac:dyDescent="0.2">
      <c r="A81" s="81"/>
      <c r="B81" s="82"/>
      <c r="C81" s="82"/>
      <c r="D81" s="82"/>
      <c r="E81" s="82"/>
      <c r="F81" s="82"/>
      <c r="G81" s="82"/>
      <c r="H81" s="82"/>
      <c r="I81" s="82"/>
      <c r="J81" s="82"/>
      <c r="K81" s="82"/>
      <c r="L81" s="82"/>
    </row>
    <row r="82" spans="1:12" x14ac:dyDescent="0.2">
      <c r="A82" s="81"/>
      <c r="B82" s="82"/>
      <c r="C82" s="82"/>
      <c r="D82" s="82"/>
      <c r="E82" s="82"/>
      <c r="F82" s="82"/>
      <c r="G82" s="82"/>
      <c r="H82" s="82"/>
      <c r="I82" s="82"/>
      <c r="J82" s="82"/>
      <c r="K82" s="82"/>
      <c r="L82" s="82"/>
    </row>
    <row r="83" spans="1:12" x14ac:dyDescent="0.2">
      <c r="A83" s="81"/>
      <c r="B83" s="82"/>
      <c r="C83" s="82"/>
      <c r="D83" s="82"/>
      <c r="E83" s="82"/>
      <c r="F83" s="82"/>
      <c r="G83" s="82"/>
      <c r="H83" s="82"/>
      <c r="I83" s="82"/>
      <c r="J83" s="82"/>
      <c r="K83" s="82"/>
      <c r="L83" s="82"/>
    </row>
    <row r="84" spans="1:12" x14ac:dyDescent="0.2">
      <c r="A84" s="81"/>
      <c r="B84" s="82"/>
      <c r="C84" s="82"/>
      <c r="D84" s="82"/>
      <c r="E84" s="82"/>
      <c r="F84" s="82"/>
      <c r="G84" s="82"/>
      <c r="H84" s="82"/>
      <c r="I84" s="82"/>
      <c r="J84" s="82"/>
      <c r="K84" s="82"/>
      <c r="L84" s="82"/>
    </row>
    <row r="85" spans="1:12" x14ac:dyDescent="0.2">
      <c r="A85" s="81"/>
      <c r="B85" s="82"/>
      <c r="C85" s="82"/>
      <c r="D85" s="82"/>
      <c r="E85" s="82"/>
      <c r="F85" s="82"/>
      <c r="G85" s="82"/>
      <c r="H85" s="82"/>
      <c r="I85" s="82"/>
      <c r="J85" s="82"/>
      <c r="K85" s="82"/>
      <c r="L85" s="82"/>
    </row>
    <row r="86" spans="1:12" x14ac:dyDescent="0.2">
      <c r="A86" s="81"/>
      <c r="B86" s="82"/>
      <c r="C86" s="82"/>
      <c r="D86" s="82"/>
      <c r="E86" s="82"/>
      <c r="F86" s="82"/>
      <c r="G86" s="82"/>
      <c r="H86" s="82"/>
      <c r="I86" s="82"/>
      <c r="J86" s="82"/>
      <c r="K86" s="82"/>
      <c r="L86" s="82"/>
    </row>
    <row r="87" spans="1:12" x14ac:dyDescent="0.2">
      <c r="A87" s="81"/>
      <c r="B87" s="82"/>
      <c r="C87" s="82"/>
      <c r="D87" s="82"/>
      <c r="E87" s="82"/>
      <c r="F87" s="82"/>
      <c r="G87" s="82"/>
      <c r="H87" s="82"/>
      <c r="I87" s="82"/>
      <c r="J87" s="82"/>
      <c r="K87" s="82"/>
      <c r="L87" s="82"/>
    </row>
    <row r="88" spans="1:12" x14ac:dyDescent="0.2">
      <c r="A88" s="81"/>
      <c r="B88" s="82"/>
      <c r="C88" s="82"/>
      <c r="D88" s="82"/>
      <c r="E88" s="82"/>
      <c r="F88" s="82"/>
      <c r="G88" s="82"/>
      <c r="H88" s="82"/>
      <c r="I88" s="82"/>
      <c r="J88" s="82"/>
      <c r="K88" s="82"/>
      <c r="L88" s="82"/>
    </row>
    <row r="89" spans="1:12" x14ac:dyDescent="0.2">
      <c r="A89" s="81"/>
      <c r="B89" s="82"/>
      <c r="C89" s="82"/>
      <c r="D89" s="82"/>
      <c r="E89" s="82"/>
      <c r="F89" s="82"/>
      <c r="G89" s="82"/>
      <c r="H89" s="82"/>
      <c r="I89" s="82"/>
      <c r="J89" s="82"/>
      <c r="K89" s="82"/>
      <c r="L89" s="82"/>
    </row>
    <row r="90" spans="1:12" x14ac:dyDescent="0.2">
      <c r="A90" s="81"/>
      <c r="B90" s="82"/>
      <c r="C90" s="82"/>
      <c r="D90" s="82"/>
      <c r="E90" s="82"/>
      <c r="F90" s="82"/>
      <c r="G90" s="82"/>
      <c r="H90" s="82"/>
      <c r="I90" s="82"/>
      <c r="J90" s="82"/>
      <c r="K90" s="82"/>
      <c r="L90" s="82"/>
    </row>
    <row r="91" spans="1:12" x14ac:dyDescent="0.2">
      <c r="A91" s="81"/>
      <c r="B91" s="82"/>
      <c r="C91" s="82"/>
      <c r="D91" s="82"/>
      <c r="E91" s="82"/>
      <c r="F91" s="82"/>
      <c r="G91" s="82"/>
      <c r="H91" s="82"/>
      <c r="I91" s="82"/>
      <c r="J91" s="82"/>
      <c r="K91" s="82"/>
      <c r="L91" s="82"/>
    </row>
    <row r="92" spans="1:12" x14ac:dyDescent="0.2">
      <c r="A92" s="81"/>
      <c r="B92" s="82"/>
      <c r="C92" s="82"/>
      <c r="D92" s="82"/>
      <c r="E92" s="82"/>
      <c r="F92" s="82"/>
      <c r="G92" s="82"/>
      <c r="H92" s="82"/>
      <c r="I92" s="82"/>
      <c r="J92" s="82"/>
      <c r="K92" s="82"/>
      <c r="L92" s="82"/>
    </row>
    <row r="93" spans="1:12" x14ac:dyDescent="0.2">
      <c r="A93" s="81"/>
      <c r="B93" s="82"/>
      <c r="C93" s="82"/>
      <c r="D93" s="82"/>
      <c r="E93" s="82"/>
      <c r="F93" s="82"/>
      <c r="G93" s="82"/>
      <c r="H93" s="82"/>
      <c r="I93" s="82"/>
      <c r="J93" s="82"/>
      <c r="K93" s="82"/>
      <c r="L93" s="82"/>
    </row>
    <row r="94" spans="1:12" x14ac:dyDescent="0.2">
      <c r="A94" s="81"/>
      <c r="B94" s="82"/>
      <c r="C94" s="82"/>
      <c r="D94" s="82"/>
      <c r="E94" s="82"/>
      <c r="F94" s="82"/>
      <c r="G94" s="82"/>
      <c r="H94" s="82"/>
      <c r="I94" s="82"/>
      <c r="J94" s="82"/>
      <c r="K94" s="82"/>
      <c r="L94" s="82"/>
    </row>
    <row r="95" spans="1:12" x14ac:dyDescent="0.2">
      <c r="A95" s="81"/>
      <c r="B95" s="82"/>
      <c r="C95" s="82"/>
      <c r="D95" s="82"/>
      <c r="E95" s="82"/>
      <c r="F95" s="82"/>
      <c r="G95" s="82"/>
      <c r="H95" s="82"/>
      <c r="I95" s="82"/>
      <c r="J95" s="82"/>
      <c r="K95" s="82"/>
      <c r="L95" s="82"/>
    </row>
    <row r="96" spans="1:12" x14ac:dyDescent="0.2">
      <c r="A96" s="81"/>
      <c r="B96" s="82"/>
      <c r="C96" s="82"/>
      <c r="D96" s="82"/>
      <c r="E96" s="82"/>
      <c r="F96" s="82"/>
      <c r="G96" s="82"/>
      <c r="H96" s="82"/>
      <c r="I96" s="82"/>
      <c r="J96" s="82"/>
      <c r="K96" s="82"/>
      <c r="L96" s="82"/>
    </row>
    <row r="97" spans="1:12" x14ac:dyDescent="0.2">
      <c r="A97" s="81"/>
      <c r="B97" s="82"/>
      <c r="C97" s="82"/>
      <c r="D97" s="82"/>
      <c r="E97" s="82"/>
      <c r="F97" s="82"/>
      <c r="G97" s="82"/>
      <c r="H97" s="82"/>
      <c r="I97" s="82"/>
      <c r="J97" s="82"/>
      <c r="K97" s="82"/>
      <c r="L97" s="82"/>
    </row>
    <row r="98" spans="1:12" x14ac:dyDescent="0.2">
      <c r="A98" s="81"/>
      <c r="B98" s="82"/>
      <c r="C98" s="82"/>
      <c r="D98" s="82"/>
      <c r="E98" s="82"/>
      <c r="F98" s="82"/>
      <c r="G98" s="82"/>
      <c r="H98" s="82"/>
      <c r="I98" s="82"/>
      <c r="J98" s="82"/>
      <c r="K98" s="82"/>
      <c r="L98" s="82"/>
    </row>
    <row r="99" spans="1:12" x14ac:dyDescent="0.2">
      <c r="A99" s="81"/>
      <c r="B99" s="82"/>
      <c r="C99" s="82"/>
      <c r="D99" s="82"/>
      <c r="E99" s="82"/>
      <c r="F99" s="82"/>
      <c r="G99" s="82"/>
      <c r="H99" s="82"/>
      <c r="I99" s="82"/>
      <c r="J99" s="82"/>
      <c r="K99" s="82"/>
      <c r="L99" s="82"/>
    </row>
  </sheetData>
  <sheetProtection formatCells="0" formatColumns="0" formatRows="0"/>
  <mergeCells count="1">
    <mergeCell ref="A1:J1"/>
  </mergeCells>
  <hyperlinks>
    <hyperlink ref="A62" r:id="rId1" display="https://app.tikr.com/terms" xr:uid="{89EB5372-EADF-764F-AE87-A6897FD6D8B1}"/>
    <hyperlink ref="A63" r:id="rId2" display="https://app.tikr.com/privacypolicy" xr:uid="{C66DC357-59D4-6F47-A00B-51ED9E4B1AF3}"/>
  </hyperlinks>
  <pageMargins left="0.7" right="0.7" top="0.75" bottom="0.75" header="0.3" footer="0.3"/>
  <pageSetup paperSize="9" orientation="portrait" horizontalDpi="1200" verticalDpi="1200"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190</v>
      </c>
      <c r="C2" s="38" t="s">
        <v>191</v>
      </c>
      <c r="D2" s="38" t="s">
        <v>192</v>
      </c>
      <c r="E2" s="38" t="s">
        <v>193</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8" t="s">
        <v>4</v>
      </c>
      <c r="C4" s="179" t="s">
        <v>30</v>
      </c>
      <c r="D4" s="179" t="s">
        <v>31</v>
      </c>
      <c r="E4" s="179"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8" t="s">
        <v>1</v>
      </c>
      <c r="C6" s="179" t="s">
        <v>36</v>
      </c>
      <c r="D6" s="179" t="s">
        <v>37</v>
      </c>
      <c r="E6" s="179"/>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79</v>
      </c>
      <c r="C9" s="38" t="s">
        <v>191</v>
      </c>
      <c r="D9" s="38" t="s">
        <v>192</v>
      </c>
      <c r="E9" s="38" t="s">
        <v>193</v>
      </c>
      <c r="F9" s="31"/>
      <c r="G9" s="31"/>
      <c r="H9" s="31"/>
      <c r="I9" s="31"/>
      <c r="J9" s="31"/>
      <c r="K9" s="31"/>
      <c r="L9" s="31"/>
      <c r="M9" s="31"/>
      <c r="N9" s="31"/>
      <c r="O9" s="32"/>
      <c r="P9" s="27"/>
      <c r="Q9" s="27"/>
      <c r="R9" s="27"/>
      <c r="S9" s="27"/>
      <c r="T9" s="27"/>
    </row>
    <row r="10" spans="1:20" ht="30" customHeight="1" x14ac:dyDescent="0.2">
      <c r="A10" s="27"/>
      <c r="B10" s="39" t="s">
        <v>140</v>
      </c>
      <c r="C10" s="42" t="s">
        <v>141</v>
      </c>
      <c r="D10" s="40"/>
      <c r="E10" s="41"/>
      <c r="F10" s="31"/>
      <c r="G10" s="31"/>
      <c r="H10" s="31"/>
      <c r="I10" s="31"/>
      <c r="J10" s="31"/>
      <c r="K10" s="31"/>
      <c r="L10" s="31"/>
      <c r="M10" s="31"/>
      <c r="N10" s="31"/>
      <c r="O10" s="32"/>
      <c r="P10" s="27"/>
      <c r="Q10" s="27"/>
      <c r="R10" s="27"/>
      <c r="S10" s="27"/>
      <c r="T10" s="27"/>
    </row>
    <row r="11" spans="1:20" ht="30" customHeight="1" x14ac:dyDescent="0.2">
      <c r="A11" s="27"/>
      <c r="B11" s="178" t="s">
        <v>25</v>
      </c>
      <c r="C11" s="180" t="s">
        <v>26</v>
      </c>
      <c r="D11" s="180"/>
      <c r="E11" s="181"/>
      <c r="F11" s="31"/>
      <c r="G11" s="31"/>
      <c r="H11" s="31"/>
      <c r="I11" s="31"/>
      <c r="J11" s="31"/>
      <c r="K11" s="31"/>
      <c r="L11" s="31"/>
      <c r="M11" s="31"/>
      <c r="N11" s="31"/>
      <c r="O11" s="32"/>
      <c r="P11" s="27"/>
      <c r="Q11" s="27"/>
      <c r="R11" s="27"/>
      <c r="S11" s="27"/>
      <c r="T11" s="27"/>
    </row>
    <row r="12" spans="1:20" ht="30" customHeight="1" x14ac:dyDescent="0.2">
      <c r="A12" s="27"/>
      <c r="B12" s="39" t="s">
        <v>23</v>
      </c>
      <c r="C12" s="42" t="s">
        <v>142</v>
      </c>
      <c r="D12" s="42" t="s">
        <v>24</v>
      </c>
      <c r="E12" s="43"/>
      <c r="F12" s="31"/>
      <c r="G12" s="31"/>
      <c r="H12" s="31"/>
      <c r="I12" s="31"/>
      <c r="J12" s="31"/>
      <c r="K12" s="31"/>
      <c r="L12" s="31"/>
      <c r="M12" s="31"/>
      <c r="N12" s="31"/>
      <c r="O12" s="32"/>
      <c r="P12" s="27"/>
      <c r="Q12" s="27"/>
      <c r="R12" s="27"/>
      <c r="S12" s="27"/>
      <c r="T12" s="27"/>
    </row>
    <row r="13" spans="1:20" ht="30" customHeight="1" x14ac:dyDescent="0.2">
      <c r="A13" s="27"/>
      <c r="B13" s="178" t="s">
        <v>100</v>
      </c>
      <c r="C13" s="180" t="s">
        <v>82</v>
      </c>
      <c r="D13" s="180"/>
      <c r="E13" s="181"/>
      <c r="F13" s="31"/>
      <c r="G13" s="31"/>
      <c r="H13" s="31"/>
      <c r="I13" s="31"/>
      <c r="J13" s="31"/>
      <c r="K13" s="31"/>
      <c r="L13" s="31"/>
      <c r="M13" s="31"/>
      <c r="N13" s="31"/>
      <c r="O13" s="32"/>
      <c r="P13" s="27"/>
      <c r="Q13" s="27"/>
      <c r="R13" s="27"/>
      <c r="S13" s="27"/>
      <c r="T13" s="27"/>
    </row>
    <row r="14" spans="1:20" ht="30" customHeight="1" x14ac:dyDescent="0.2">
      <c r="A14" s="27"/>
      <c r="B14" s="39" t="s">
        <v>101</v>
      </c>
      <c r="C14" s="40" t="s">
        <v>83</v>
      </c>
      <c r="D14" s="40"/>
      <c r="E14" s="41"/>
      <c r="F14" s="31"/>
      <c r="G14" s="31"/>
      <c r="H14" s="31"/>
      <c r="I14" s="31"/>
      <c r="J14" s="31"/>
      <c r="K14" s="31"/>
      <c r="L14" s="31"/>
      <c r="M14" s="31"/>
      <c r="N14" s="31"/>
      <c r="O14" s="32"/>
      <c r="P14" s="27"/>
      <c r="Q14" s="27"/>
      <c r="R14" s="27"/>
      <c r="S14" s="27"/>
      <c r="T14" s="27"/>
    </row>
    <row r="15" spans="1:20" ht="30" customHeight="1" x14ac:dyDescent="0.2">
      <c r="A15" s="27"/>
      <c r="B15" s="178" t="s">
        <v>99</v>
      </c>
      <c r="C15" s="180" t="s">
        <v>84</v>
      </c>
      <c r="D15" s="180"/>
      <c r="E15" s="181"/>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80</v>
      </c>
      <c r="C18" s="38" t="s">
        <v>191</v>
      </c>
      <c r="D18" s="38" t="s">
        <v>192</v>
      </c>
      <c r="E18" s="38" t="s">
        <v>193</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8" t="s">
        <v>4</v>
      </c>
      <c r="C20" s="180" t="s">
        <v>41</v>
      </c>
      <c r="D20" s="180"/>
      <c r="E20" s="181"/>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8" t="s">
        <v>6</v>
      </c>
      <c r="C22" s="180" t="s">
        <v>43</v>
      </c>
      <c r="D22" s="180"/>
      <c r="E22" s="181"/>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81</v>
      </c>
      <c r="C24" s="38" t="s">
        <v>191</v>
      </c>
      <c r="D24" s="38" t="s">
        <v>192</v>
      </c>
      <c r="E24" s="38" t="s">
        <v>193</v>
      </c>
      <c r="F24" s="29"/>
      <c r="G24" s="29"/>
      <c r="H24" s="29"/>
      <c r="I24" s="29"/>
      <c r="J24" s="29"/>
      <c r="K24" s="29"/>
      <c r="L24" s="29"/>
      <c r="M24" s="29"/>
      <c r="N24" s="29"/>
      <c r="O24" s="32"/>
      <c r="P24" s="27"/>
      <c r="Q24" s="27"/>
      <c r="R24" s="27"/>
      <c r="S24" s="27"/>
      <c r="T24" s="27"/>
    </row>
    <row r="25" spans="1:20" ht="34" x14ac:dyDescent="0.2">
      <c r="A25" s="27"/>
      <c r="B25" s="39" t="s">
        <v>105</v>
      </c>
      <c r="C25" s="44" t="s">
        <v>48</v>
      </c>
      <c r="D25" s="44" t="s">
        <v>46</v>
      </c>
      <c r="E25" s="45"/>
      <c r="F25" s="318"/>
      <c r="G25" s="318"/>
      <c r="H25" s="318"/>
      <c r="I25" s="36"/>
      <c r="J25" s="36"/>
      <c r="K25" s="36"/>
      <c r="L25" s="36"/>
      <c r="M25" s="36"/>
      <c r="N25" s="36"/>
      <c r="O25" s="34"/>
      <c r="P25" s="27"/>
      <c r="Q25" s="27"/>
      <c r="R25" s="27"/>
      <c r="S25" s="27"/>
      <c r="T25" s="27"/>
    </row>
    <row r="26" spans="1:20" ht="30" customHeight="1" x14ac:dyDescent="0.2">
      <c r="A26" s="27"/>
      <c r="B26" s="178" t="s">
        <v>44</v>
      </c>
      <c r="C26" s="182" t="s">
        <v>194</v>
      </c>
      <c r="D26" s="182"/>
      <c r="E26" s="183"/>
      <c r="F26" s="318"/>
      <c r="G26" s="318"/>
      <c r="H26" s="318"/>
      <c r="I26" s="36"/>
      <c r="J26" s="36"/>
      <c r="K26" s="36"/>
      <c r="L26" s="36"/>
      <c r="M26" s="36"/>
      <c r="N26" s="36"/>
      <c r="O26" s="34"/>
      <c r="P26" s="27"/>
      <c r="Q26" s="27"/>
      <c r="R26" s="27"/>
      <c r="S26" s="27"/>
      <c r="T26" s="27"/>
    </row>
    <row r="27" spans="1:20" ht="30" customHeight="1" x14ac:dyDescent="0.2">
      <c r="A27" s="27"/>
      <c r="B27" s="39" t="s">
        <v>45</v>
      </c>
      <c r="C27" s="44" t="s">
        <v>47</v>
      </c>
      <c r="D27" s="46"/>
      <c r="E27" s="45"/>
      <c r="F27" s="318"/>
      <c r="G27" s="318"/>
      <c r="H27" s="318"/>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191</v>
      </c>
      <c r="D29" s="38" t="s">
        <v>192</v>
      </c>
      <c r="E29" s="38" t="s">
        <v>193</v>
      </c>
      <c r="F29" s="318"/>
      <c r="G29" s="318"/>
      <c r="H29" s="318"/>
      <c r="I29" s="36"/>
      <c r="J29" s="36"/>
      <c r="K29" s="36"/>
      <c r="L29" s="36"/>
      <c r="M29" s="36"/>
      <c r="N29" s="36"/>
      <c r="O29" s="30"/>
      <c r="P29" s="27"/>
      <c r="Q29" s="27"/>
      <c r="R29" s="27"/>
      <c r="S29" s="27"/>
      <c r="T29" s="27"/>
    </row>
    <row r="30" spans="1:20" ht="52" customHeight="1" x14ac:dyDescent="0.2">
      <c r="A30" s="27"/>
      <c r="B30" s="39" t="s">
        <v>50</v>
      </c>
      <c r="C30" s="42" t="s">
        <v>49</v>
      </c>
      <c r="D30" s="45" t="s">
        <v>85</v>
      </c>
      <c r="E30" s="45" t="s">
        <v>143</v>
      </c>
      <c r="F30" s="29"/>
      <c r="G30" s="29"/>
      <c r="H30" s="29"/>
      <c r="I30" s="29"/>
      <c r="J30" s="29"/>
      <c r="K30" s="29"/>
      <c r="L30" s="29"/>
      <c r="M30" s="29"/>
      <c r="N30" s="29"/>
      <c r="O30" s="27"/>
      <c r="P30" s="27"/>
      <c r="Q30" s="27"/>
      <c r="R30" s="27"/>
      <c r="S30" s="27"/>
      <c r="T30" s="27"/>
    </row>
    <row r="31" spans="1:20" ht="35" x14ac:dyDescent="0.2">
      <c r="A31" s="27"/>
      <c r="B31" s="178" t="s">
        <v>55</v>
      </c>
      <c r="C31" s="179" t="s">
        <v>78</v>
      </c>
      <c r="D31" s="182" t="s">
        <v>86</v>
      </c>
      <c r="E31" s="183" t="s">
        <v>87</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8" t="s">
        <v>6</v>
      </c>
      <c r="C33" s="179" t="s">
        <v>54</v>
      </c>
      <c r="D33" s="183"/>
      <c r="E33" s="183"/>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1:N76"/>
  <sheetViews>
    <sheetView showGridLines="0" topLeftCell="A25" workbookViewId="0">
      <selection activeCell="C31" sqref="C31"/>
    </sheetView>
  </sheetViews>
  <sheetFormatPr baseColWidth="10" defaultRowHeight="15" x14ac:dyDescent="0.2"/>
  <cols>
    <col min="1" max="1" width="38.5" bestFit="1" customWidth="1"/>
    <col min="2" max="12" width="11.5" style="215"/>
  </cols>
  <sheetData>
    <row r="1" spans="1:11" x14ac:dyDescent="0.2">
      <c r="A1" s="78" t="s">
        <v>112</v>
      </c>
      <c r="B1" s="214">
        <f>'1.IS'!B2</f>
        <v>2016</v>
      </c>
      <c r="C1" s="214">
        <f>'1.IS'!C2</f>
        <v>2017</v>
      </c>
      <c r="D1" s="214">
        <f>'1.IS'!D2</f>
        <v>2018</v>
      </c>
      <c r="E1" s="214">
        <f>'1.IS'!E2</f>
        <v>2019</v>
      </c>
      <c r="F1" s="214">
        <f>'1.IS'!F2</f>
        <v>2020</v>
      </c>
      <c r="G1" s="214">
        <f>'1.IS'!G2</f>
        <v>2021</v>
      </c>
      <c r="H1" s="214">
        <f>'1.IS'!H2</f>
        <v>2022</v>
      </c>
      <c r="I1" s="214">
        <f>'1.IS'!I2</f>
        <v>2023</v>
      </c>
      <c r="J1" s="214">
        <f>'1.IS'!J2</f>
        <v>2024</v>
      </c>
      <c r="K1" s="214">
        <f>'1.IS'!K2</f>
        <v>2025</v>
      </c>
    </row>
    <row r="2" spans="1:11" x14ac:dyDescent="0.2">
      <c r="A2" t="s">
        <v>114</v>
      </c>
      <c r="B2" s="216">
        <f>IFERROR(VLOOKUP($A2,'9.TIKR_CF'!$A:$K,COLUMN(B2),FALSE),"0")</f>
        <v>-2649</v>
      </c>
      <c r="C2" s="216">
        <f>IFERROR(VLOOKUP($A2,'9.TIKR_CF'!$A:$K,COLUMN(C2),FALSE),"0")</f>
        <v>-2502</v>
      </c>
      <c r="D2" s="216">
        <f>IFERROR(VLOOKUP($A2,'9.TIKR_CF'!$A:$K,COLUMN(D2),FALSE),"0")</f>
        <v>-2969</v>
      </c>
      <c r="E2" s="216">
        <f>IFERROR(VLOOKUP($A2,'9.TIKR_CF'!$A:$K,COLUMN(E2),FALSE),"0")</f>
        <v>-2998</v>
      </c>
      <c r="F2" s="216">
        <f>IFERROR(VLOOKUP($A2,'9.TIKR_CF'!$A:$K,COLUMN(F2),FALSE),"0")</f>
        <v>-2810</v>
      </c>
      <c r="G2" s="216">
        <f>IFERROR(VLOOKUP($A2,'9.TIKR_CF'!$A:$K,COLUMN(G2),FALSE),"0")</f>
        <v>-3588</v>
      </c>
      <c r="H2" s="216">
        <f>IFERROR(VLOOKUP($A2,'9.TIKR_CF'!$A:$K,COLUMN(H2),FALSE),"0")</f>
        <v>-3891</v>
      </c>
      <c r="I2" s="216">
        <f>IFERROR(VLOOKUP($A2,'9.TIKR_CF'!$A:$K,COLUMN(I2),FALSE),"0")</f>
        <v>-4323</v>
      </c>
      <c r="J2" s="216">
        <f>IFERROR(VLOOKUP($A2,'9.TIKR_CF'!$A:$K,COLUMN(J2),FALSE),"0")</f>
        <v>-4710</v>
      </c>
      <c r="K2" s="216">
        <f>IFERROR(VLOOKUP($A2,'9.TIKR_CF'!$A:$K,COLUMN(K2),FALSE),"0")</f>
        <v>-5498</v>
      </c>
    </row>
    <row r="3" spans="1:11" x14ac:dyDescent="0.2">
      <c r="A3" t="s">
        <v>155</v>
      </c>
      <c r="B3" s="216" t="str">
        <f>IFERROR(VLOOKUP($A3,'9.TIKR_CF'!$A:$K,COLUMN(B3),FALSE),"0")</f>
        <v>0</v>
      </c>
      <c r="C3" s="216" t="str">
        <f>IFERROR(VLOOKUP($A3,'9.TIKR_CF'!$A:$K,COLUMN(C3),FALSE),"0")</f>
        <v>0</v>
      </c>
      <c r="D3" s="216" t="str">
        <f>IFERROR(VLOOKUP($A3,'9.TIKR_CF'!$A:$K,COLUMN(D3),FALSE),"0")</f>
        <v>0</v>
      </c>
      <c r="E3" s="216" t="str">
        <f>IFERROR(VLOOKUP($A3,'9.TIKR_CF'!$A:$K,COLUMN(E3),FALSE),"0")</f>
        <v>0</v>
      </c>
      <c r="F3" s="216" t="str">
        <f>IFERROR(VLOOKUP($A3,'9.TIKR_CF'!$A:$K,COLUMN(F3),FALSE),"0")</f>
        <v>0</v>
      </c>
      <c r="G3" s="216" t="str">
        <f>IFERROR(VLOOKUP($A3,'9.TIKR_CF'!$A:$K,COLUMN(G3),FALSE),"0")</f>
        <v>0</v>
      </c>
      <c r="H3" s="216" t="str">
        <f>IFERROR(VLOOKUP($A3,'9.TIKR_CF'!$A:$K,COLUMN(H3),FALSE),"0")</f>
        <v>0</v>
      </c>
      <c r="I3" s="216" t="str">
        <f>IFERROR(VLOOKUP($A3,'9.TIKR_CF'!$A:$K,COLUMN(I3),FALSE),"0")</f>
        <v>0</v>
      </c>
      <c r="J3" s="216" t="str">
        <f>IFERROR(VLOOKUP($A3,'9.TIKR_CF'!$A:$K,COLUMN(J3),FALSE),"0")</f>
        <v>0</v>
      </c>
      <c r="K3" s="216" t="str">
        <f>IFERROR(VLOOKUP($A3,'9.TIKR_CF'!$A:$K,COLUMN(K3),FALSE),"0")</f>
        <v>0</v>
      </c>
    </row>
    <row r="4" spans="1:11" x14ac:dyDescent="0.2">
      <c r="A4" s="170" t="s">
        <v>115</v>
      </c>
      <c r="B4" s="217">
        <f>IFERROR(VLOOKUP($A4,'9.TIKR_CF'!$A:$K,COLUMN(B4),FALSE),"0")</f>
        <v>0</v>
      </c>
      <c r="C4" s="217">
        <f>IFERROR(VLOOKUP($A4,'9.TIKR_CF'!$A:$K,COLUMN(C4),FALSE),"0")</f>
        <v>0</v>
      </c>
      <c r="D4" s="217">
        <f>IFERROR(VLOOKUP($A4,'9.TIKR_CF'!$A:$K,COLUMN(D4),FALSE),"0")</f>
        <v>0</v>
      </c>
      <c r="E4" s="217">
        <f>IFERROR(VLOOKUP($A4,'9.TIKR_CF'!$A:$K,COLUMN(E4),FALSE),"0")</f>
        <v>0</v>
      </c>
      <c r="F4" s="217">
        <f>IFERROR(VLOOKUP($A4,'9.TIKR_CF'!$A:$K,COLUMN(F4),FALSE),"0")</f>
        <v>0</v>
      </c>
      <c r="G4" s="217">
        <f>IFERROR(VLOOKUP($A4,'9.TIKR_CF'!$A:$K,COLUMN(G4),FALSE),"0")</f>
        <v>0</v>
      </c>
      <c r="H4" s="217">
        <f>IFERROR(VLOOKUP($A4,'9.TIKR_CF'!$A:$K,COLUMN(H4),FALSE),"0")</f>
        <v>0</v>
      </c>
      <c r="I4" s="218">
        <f>IFERROR(VLOOKUP($A4,'9.TIKR_CF'!$A:$K,COLUMN(I4),FALSE),"0")</f>
        <v>0</v>
      </c>
      <c r="J4" s="218">
        <f>IFERROR(VLOOKUP($A4,'9.TIKR_CF'!$A:$K,COLUMN(J4),FALSE),"0")</f>
        <v>0</v>
      </c>
      <c r="K4" s="218">
        <f>IFERROR(VLOOKUP($A4,'9.TIKR_CF'!$A:$K,COLUMN(K4),FALSE),"0")</f>
        <v>0</v>
      </c>
    </row>
    <row r="5" spans="1:11" x14ac:dyDescent="0.2">
      <c r="A5" t="s">
        <v>110</v>
      </c>
      <c r="B5" s="216">
        <f t="shared" ref="B5:K5" si="0">SUM(B2:B4)</f>
        <v>-2649</v>
      </c>
      <c r="C5" s="216">
        <f t="shared" si="0"/>
        <v>-2502</v>
      </c>
      <c r="D5" s="216">
        <f t="shared" si="0"/>
        <v>-2969</v>
      </c>
      <c r="E5" s="216">
        <f t="shared" si="0"/>
        <v>-2998</v>
      </c>
      <c r="F5" s="216">
        <f t="shared" si="0"/>
        <v>-2810</v>
      </c>
      <c r="G5" s="216">
        <f t="shared" si="0"/>
        <v>-3588</v>
      </c>
      <c r="H5" s="216">
        <f t="shared" si="0"/>
        <v>-3891</v>
      </c>
      <c r="I5" s="216">
        <f t="shared" si="0"/>
        <v>-4323</v>
      </c>
      <c r="J5" s="216">
        <f t="shared" si="0"/>
        <v>-4710</v>
      </c>
      <c r="K5" s="216">
        <f t="shared" si="0"/>
        <v>-5498</v>
      </c>
    </row>
    <row r="6" spans="1:11" x14ac:dyDescent="0.2">
      <c r="A6" s="170" t="s">
        <v>113</v>
      </c>
      <c r="B6" s="217" t="str">
        <f>IFERROR(VLOOKUP($A6,'9.TIKR_CF'!$A:$K,COLUMN(B6),FALSE),"0")</f>
        <v>0</v>
      </c>
      <c r="C6" s="217" t="str">
        <f>IFERROR(VLOOKUP($A6,'9.TIKR_CF'!$A:$K,COLUMN(C6),FALSE),"0")</f>
        <v>0</v>
      </c>
      <c r="D6" s="217" t="str">
        <f>IFERROR(VLOOKUP($A6,'9.TIKR_CF'!$A:$K,COLUMN(D6),FALSE),"0")</f>
        <v>0</v>
      </c>
      <c r="E6" s="217" t="str">
        <f>IFERROR(VLOOKUP($A6,'9.TIKR_CF'!$A:$K,COLUMN(E6),FALSE),"0")</f>
        <v>0</v>
      </c>
      <c r="F6" s="217" t="str">
        <f>IFERROR(VLOOKUP($A6,'9.TIKR_CF'!$A:$K,COLUMN(F6),FALSE),"0")</f>
        <v>0</v>
      </c>
      <c r="G6" s="217" t="str">
        <f>IFERROR(VLOOKUP($A6,'9.TIKR_CF'!$A:$K,COLUMN(G6),FALSE),"0")</f>
        <v>0</v>
      </c>
      <c r="H6" s="217" t="str">
        <f>IFERROR(VLOOKUP($A6,'9.TIKR_CF'!$A:$K,COLUMN(H6),FALSE),"0")</f>
        <v>0</v>
      </c>
      <c r="I6" s="217" t="str">
        <f>IFERROR(VLOOKUP($A6,'9.TIKR_CF'!$A:$K,COLUMN(I6),FALSE),"0")</f>
        <v>0</v>
      </c>
      <c r="J6" s="217" t="str">
        <f>IFERROR(VLOOKUP($A6,'9.TIKR_CF'!$A:$K,COLUMN(J6),FALSE),"0")</f>
        <v>0</v>
      </c>
      <c r="K6" s="217" t="str">
        <f>IFERROR(VLOOKUP($A6,'9.TIKR_CF'!$A:$K,COLUMN(K6),FALSE),"0")</f>
        <v>0</v>
      </c>
    </row>
    <row r="7" spans="1:11" x14ac:dyDescent="0.2">
      <c r="A7" s="75" t="s">
        <v>111</v>
      </c>
      <c r="B7" s="219">
        <f t="shared" ref="B7:H7" si="1">IF(ABS(B5)&lt;B6,B5,-B6)</f>
        <v>-2649</v>
      </c>
      <c r="C7" s="219">
        <f t="shared" si="1"/>
        <v>-2502</v>
      </c>
      <c r="D7" s="219">
        <f t="shared" si="1"/>
        <v>-2969</v>
      </c>
      <c r="E7" s="219">
        <f t="shared" si="1"/>
        <v>-2998</v>
      </c>
      <c r="F7" s="219">
        <f t="shared" si="1"/>
        <v>-2810</v>
      </c>
      <c r="G7" s="219">
        <f t="shared" si="1"/>
        <v>-3588</v>
      </c>
      <c r="H7" s="219">
        <f t="shared" si="1"/>
        <v>-3891</v>
      </c>
      <c r="I7" s="219">
        <f t="shared" ref="I7:K7" si="2">IF(ABS(I5)&lt;I6,I5,-I6)</f>
        <v>-4323</v>
      </c>
      <c r="J7" s="219">
        <f t="shared" si="2"/>
        <v>-4710</v>
      </c>
      <c r="K7" s="219">
        <f t="shared" si="2"/>
        <v>-5498</v>
      </c>
    </row>
    <row r="9" spans="1:11" x14ac:dyDescent="0.2">
      <c r="A9" s="78" t="s">
        <v>118</v>
      </c>
      <c r="B9" s="214">
        <f>'1.IS'!B2</f>
        <v>2016</v>
      </c>
      <c r="C9" s="214">
        <f>'1.IS'!C2</f>
        <v>2017</v>
      </c>
      <c r="D9" s="214">
        <f>'1.IS'!D2</f>
        <v>2018</v>
      </c>
      <c r="E9" s="214">
        <f>'1.IS'!E2</f>
        <v>2019</v>
      </c>
      <c r="F9" s="214">
        <f>'1.IS'!F2</f>
        <v>2020</v>
      </c>
      <c r="G9" s="214">
        <f>'1.IS'!G2</f>
        <v>2021</v>
      </c>
      <c r="H9" s="214">
        <f>'1.IS'!H2</f>
        <v>2022</v>
      </c>
      <c r="I9" s="214">
        <f>'1.IS'!I2</f>
        <v>2023</v>
      </c>
      <c r="J9" s="214">
        <f>'1.IS'!J2</f>
        <v>2024</v>
      </c>
      <c r="K9" s="214">
        <f>'1.IS'!K2</f>
        <v>2025</v>
      </c>
    </row>
    <row r="10" spans="1:11" x14ac:dyDescent="0.2">
      <c r="A10" t="s">
        <v>119</v>
      </c>
      <c r="B10" s="216">
        <f>B5-B7</f>
        <v>0</v>
      </c>
      <c r="C10" s="216">
        <f t="shared" ref="C10:K10" si="3">C5-C7</f>
        <v>0</v>
      </c>
      <c r="D10" s="216">
        <f t="shared" si="3"/>
        <v>0</v>
      </c>
      <c r="E10" s="216">
        <f t="shared" si="3"/>
        <v>0</v>
      </c>
      <c r="F10" s="216">
        <f t="shared" si="3"/>
        <v>0</v>
      </c>
      <c r="G10" s="216">
        <f t="shared" si="3"/>
        <v>0</v>
      </c>
      <c r="H10" s="216">
        <f t="shared" si="3"/>
        <v>0</v>
      </c>
      <c r="I10" s="216">
        <f t="shared" si="3"/>
        <v>0</v>
      </c>
      <c r="J10" s="216">
        <f t="shared" si="3"/>
        <v>0</v>
      </c>
      <c r="K10" s="216">
        <f t="shared" si="3"/>
        <v>0</v>
      </c>
    </row>
    <row r="11" spans="1:11" x14ac:dyDescent="0.2">
      <c r="A11" s="170" t="s">
        <v>137</v>
      </c>
      <c r="B11" s="220">
        <f>IFERROR(VLOOKUP("Cash Acquisitions*",'9.TIKR_CF'!$A:$K,COLUMN(B11),FALSE),"0")</f>
        <v>0</v>
      </c>
      <c r="C11" s="220">
        <f>IFERROR(VLOOKUP("Cash Acquisitions*",'9.TIKR_CF'!$A:$K,COLUMN(C11),FALSE),"0")</f>
        <v>0</v>
      </c>
      <c r="D11" s="220">
        <f>IFERROR(VLOOKUP("Cash Acquisitions*",'9.TIKR_CF'!$A:$K,COLUMN(D11),FALSE),"0")</f>
        <v>0</v>
      </c>
      <c r="E11" s="220">
        <f>IFERROR(VLOOKUP("Cash Acquisitions*",'9.TIKR_CF'!$A:$K,COLUMN(E11),FALSE),"0")</f>
        <v>0</v>
      </c>
      <c r="F11" s="220">
        <f>IFERROR(VLOOKUP("Cash Acquisitions*",'9.TIKR_CF'!$A:$K,COLUMN(F11),FALSE),"0")</f>
        <v>-1163</v>
      </c>
      <c r="G11" s="220">
        <f>IFERROR(VLOOKUP("Cash Acquisitions*",'9.TIKR_CF'!$A:$K,COLUMN(G11),FALSE),"0")</f>
        <v>0</v>
      </c>
      <c r="H11" s="220">
        <f>IFERROR(VLOOKUP("Cash Acquisitions*",'9.TIKR_CF'!$A:$K,COLUMN(H11),FALSE),"0")</f>
        <v>0</v>
      </c>
      <c r="I11" s="220">
        <f>IFERROR(VLOOKUP("Cash Acquisitions*",'9.TIKR_CF'!$A:$K,COLUMN(I11),FALSE),"0")</f>
        <v>0</v>
      </c>
      <c r="J11" s="220">
        <f>IFERROR(VLOOKUP("Cash Acquisitions*",'9.TIKR_CF'!$A:$K,COLUMN(J11),FALSE),"0")</f>
        <v>0</v>
      </c>
      <c r="K11" s="220">
        <f>IFERROR(VLOOKUP("Cash Acquisitions*",'9.TIKR_CF'!$A:$K,COLUMN(K11),FALSE),"0")</f>
        <v>0</v>
      </c>
    </row>
    <row r="12" spans="1:11" x14ac:dyDescent="0.2">
      <c r="A12" s="75" t="s">
        <v>120</v>
      </c>
      <c r="B12" s="219">
        <f>ABS(SUM(B10:B11))</f>
        <v>0</v>
      </c>
      <c r="C12" s="219">
        <f t="shared" ref="C12:K12" si="4">ABS(SUM(C10:C11))</f>
        <v>0</v>
      </c>
      <c r="D12" s="219">
        <f t="shared" si="4"/>
        <v>0</v>
      </c>
      <c r="E12" s="219">
        <f t="shared" si="4"/>
        <v>0</v>
      </c>
      <c r="F12" s="219">
        <f t="shared" si="4"/>
        <v>1163</v>
      </c>
      <c r="G12" s="219">
        <f t="shared" si="4"/>
        <v>0</v>
      </c>
      <c r="H12" s="219">
        <f t="shared" si="4"/>
        <v>0</v>
      </c>
      <c r="I12" s="219">
        <f t="shared" si="4"/>
        <v>0</v>
      </c>
      <c r="J12" s="219">
        <f t="shared" si="4"/>
        <v>0</v>
      </c>
      <c r="K12" s="219">
        <f t="shared" si="4"/>
        <v>0</v>
      </c>
    </row>
    <row r="14" spans="1:11" x14ac:dyDescent="0.2">
      <c r="A14" s="78" t="s">
        <v>79</v>
      </c>
      <c r="B14" s="214" t="str">
        <f>'1.IS'!L2</f>
        <v>2026e</v>
      </c>
      <c r="C14" s="214" t="str">
        <f>'1.IS'!M2</f>
        <v>2027e</v>
      </c>
      <c r="D14" s="214" t="str">
        <f>'1.IS'!N2</f>
        <v>2028e</v>
      </c>
      <c r="E14" s="214" t="str">
        <f>'1.IS'!O2</f>
        <v>2029e</v>
      </c>
      <c r="F14" s="214" t="str">
        <f>'1.IS'!P2</f>
        <v>2030e</v>
      </c>
      <c r="G14" s="221"/>
      <c r="H14" s="221"/>
      <c r="I14" s="221"/>
      <c r="J14" s="221"/>
      <c r="K14" s="221"/>
    </row>
    <row r="15" spans="1:11" x14ac:dyDescent="0.2">
      <c r="A15" s="19" t="s">
        <v>122</v>
      </c>
      <c r="B15" s="222">
        <f>'4.Valoración'!$D$12</f>
        <v>987.21</v>
      </c>
      <c r="C15" s="222">
        <f>'4.Valoración'!$D$12</f>
        <v>987.21</v>
      </c>
      <c r="D15" s="222">
        <f>'4.Valoración'!$D$12</f>
        <v>987.21</v>
      </c>
      <c r="E15" s="222">
        <f>'4.Valoración'!$D$12</f>
        <v>987.21</v>
      </c>
      <c r="F15" s="222">
        <f>'4.Valoración'!$D$12</f>
        <v>987.21</v>
      </c>
    </row>
    <row r="17" spans="1:11" x14ac:dyDescent="0.2">
      <c r="A17" s="78" t="s">
        <v>129</v>
      </c>
      <c r="B17" s="223">
        <f>'1.IS'!K2</f>
        <v>2025</v>
      </c>
    </row>
    <row r="18" spans="1:11" x14ac:dyDescent="0.2">
      <c r="A18" t="s">
        <v>131</v>
      </c>
      <c r="B18" s="224">
        <f>IFERROR(SUM('3.ROIC'!$B$6:$K$6)/SUM('3.ROIC'!$B$6:$K$7),0)</f>
        <v>7.9990772070132263E-2</v>
      </c>
    </row>
    <row r="19" spans="1:11" x14ac:dyDescent="0.2">
      <c r="A19" t="s">
        <v>130</v>
      </c>
      <c r="B19" s="225">
        <f>IF(B18=0,0,1-B18)</f>
        <v>0.92000922792986772</v>
      </c>
    </row>
    <row r="20" spans="1:11" x14ac:dyDescent="0.2">
      <c r="A20" t="s">
        <v>146</v>
      </c>
      <c r="B20" s="216">
        <f>SUM('3.ROIC'!B4:K5)</f>
        <v>105402</v>
      </c>
    </row>
    <row r="21" spans="1:11" x14ac:dyDescent="0.2">
      <c r="A21" t="s">
        <v>152</v>
      </c>
      <c r="B21" s="216">
        <f>SUM('3.ROIC'!B5:K5)</f>
        <v>11533</v>
      </c>
    </row>
    <row r="22" spans="1:11" x14ac:dyDescent="0.2">
      <c r="A22" t="s">
        <v>145</v>
      </c>
      <c r="B22" s="216">
        <f>SUM('3.ROIC'!B6:K7)</f>
        <v>65020</v>
      </c>
    </row>
    <row r="23" spans="1:11" x14ac:dyDescent="0.2">
      <c r="A23" t="s">
        <v>147</v>
      </c>
      <c r="B23" s="216">
        <f>B22-B20</f>
        <v>-40382</v>
      </c>
    </row>
    <row r="24" spans="1:11" x14ac:dyDescent="0.2">
      <c r="A24" t="s">
        <v>149</v>
      </c>
      <c r="B24" s="216">
        <f>SUM('1.IS'!B13:K13)</f>
        <v>1955</v>
      </c>
    </row>
    <row r="25" spans="1:11" x14ac:dyDescent="0.2">
      <c r="A25" t="s">
        <v>148</v>
      </c>
      <c r="B25" s="216">
        <f>SUM('1.IS'!B12:K12)</f>
        <v>-1548</v>
      </c>
    </row>
    <row r="26" spans="1:11" x14ac:dyDescent="0.2">
      <c r="A26" t="s">
        <v>150</v>
      </c>
      <c r="B26" s="225">
        <f>IFERROR(B24/B21,0)</f>
        <v>0.16951356975635135</v>
      </c>
    </row>
    <row r="27" spans="1:11" x14ac:dyDescent="0.2">
      <c r="A27" t="s">
        <v>151</v>
      </c>
      <c r="B27" s="225">
        <f>ABS(SUM('1.IS'!B12:K12))/B22</f>
        <v>2.3808059058751153E-2</v>
      </c>
    </row>
    <row r="28" spans="1:11" x14ac:dyDescent="0.2">
      <c r="B28" s="225"/>
    </row>
    <row r="29" spans="1:11" x14ac:dyDescent="0.2">
      <c r="A29" s="78" t="s">
        <v>186</v>
      </c>
      <c r="B29" s="214">
        <f>'1.IS'!K2</f>
        <v>2025</v>
      </c>
      <c r="C29" s="243" t="str">
        <f>'1.IS'!L2</f>
        <v>2026e</v>
      </c>
      <c r="D29" s="243" t="str">
        <f>'1.IS'!M2</f>
        <v>2027e</v>
      </c>
      <c r="E29" s="243" t="str">
        <f>'1.IS'!N2</f>
        <v>2028e</v>
      </c>
      <c r="F29" s="243" t="str">
        <f>'1.IS'!O2</f>
        <v>2029e</v>
      </c>
      <c r="G29" s="243" t="str">
        <f>'1.IS'!P2</f>
        <v>2030e</v>
      </c>
    </row>
    <row r="30" spans="1:11" x14ac:dyDescent="0.2">
      <c r="A30" t="s">
        <v>129</v>
      </c>
      <c r="B30" s="216">
        <f>'4.Valoración'!K4</f>
        <v>-9496</v>
      </c>
      <c r="C30" s="244">
        <f>'4.Valoración'!L4</f>
        <v>-5287.7257399353293</v>
      </c>
      <c r="D30" s="244">
        <f>'4.Valoración'!M4</f>
        <v>-5809.1215806293831</v>
      </c>
      <c r="E30" s="244">
        <f>'4.Valoración'!N4</f>
        <v>-6381.92962310234</v>
      </c>
      <c r="F30" s="244">
        <f>'4.Valoración'!O4</f>
        <v>-7011.2193640502928</v>
      </c>
      <c r="G30" s="244">
        <f>'4.Valoración'!P4</f>
        <v>-7702.560177549849</v>
      </c>
    </row>
    <row r="31" spans="1:11" x14ac:dyDescent="0.2">
      <c r="A31" t="s">
        <v>187</v>
      </c>
      <c r="B31" s="216">
        <f>B32+B33</f>
        <v>15284</v>
      </c>
      <c r="C31" s="244">
        <f>IF(C30&lt;=0,B31/ABS(B30)*ABS(C30),MIN(B45:K45)*'1.IS'!L3)</f>
        <v>8510.6992638133506</v>
      </c>
      <c r="D31" s="244">
        <f>C31/ABS(C30)*ABS(D30)</f>
        <v>9349.896191906013</v>
      </c>
      <c r="E31" s="244">
        <f>D31/ABS(D30)*ABS(E30)</f>
        <v>10271.842076610803</v>
      </c>
      <c r="F31" s="244">
        <f>E31/ABS(E30)*ABS(F30)</f>
        <v>11284.69637322501</v>
      </c>
      <c r="G31" s="244">
        <f>F31/ABS(F30)*ABS(G30)</f>
        <v>12397.423099586344</v>
      </c>
      <c r="I31" s="216"/>
      <c r="K31" s="224"/>
    </row>
    <row r="32" spans="1:11" x14ac:dyDescent="0.2">
      <c r="A32" s="242" t="s">
        <v>188</v>
      </c>
      <c r="B32" s="216">
        <f>'3.ROIC'!K4</f>
        <v>14161</v>
      </c>
      <c r="C32" s="244">
        <f>B32/B31*C31</f>
        <v>7885.3711250236101</v>
      </c>
      <c r="D32" s="244">
        <f>C32/'1.IS'!L3*'1.IS'!M3</f>
        <v>8662.907614078842</v>
      </c>
      <c r="E32" s="244">
        <f>D32/'1.IS'!M3*'1.IS'!N3</f>
        <v>9517.1130363049942</v>
      </c>
      <c r="F32" s="244">
        <f>E32/'1.IS'!N3*'1.IS'!O3</f>
        <v>10455.547326697155</v>
      </c>
      <c r="G32" s="244">
        <f>F32/'1.IS'!O3*'1.IS'!P3</f>
        <v>11486.51586713178</v>
      </c>
      <c r="K32" s="224"/>
    </row>
    <row r="33" spans="1:14" x14ac:dyDescent="0.2">
      <c r="A33" s="242" t="s">
        <v>189</v>
      </c>
      <c r="B33" s="216">
        <f>'3.ROIC'!K5</f>
        <v>1123</v>
      </c>
      <c r="C33" s="244">
        <f>B33/B31*C31</f>
        <v>625.32813878974036</v>
      </c>
      <c r="D33" s="244">
        <f>C33/'1.IS'!L3*'1.IS'!M3</f>
        <v>686.98857782716891</v>
      </c>
      <c r="E33" s="244">
        <f>D33/'1.IS'!M3*'1.IS'!N3</f>
        <v>754.72904030580526</v>
      </c>
      <c r="F33" s="244">
        <f>E33/'1.IS'!N3*'1.IS'!O3</f>
        <v>829.14904652785151</v>
      </c>
      <c r="G33" s="244">
        <f>F33/'1.IS'!O3*'1.IS'!P3</f>
        <v>910.90723245455763</v>
      </c>
    </row>
    <row r="34" spans="1:14" x14ac:dyDescent="0.2">
      <c r="A34" t="s">
        <v>183</v>
      </c>
      <c r="B34" s="216">
        <f>B30+B31</f>
        <v>5788</v>
      </c>
      <c r="C34" s="244">
        <f>IF(C30&lt;=0,B34/ABS(B30)*ABS(C30),C30+C31)</f>
        <v>3222.9735238780208</v>
      </c>
      <c r="D34" s="244">
        <f>C34/ABS(C30)*ABS(D30)</f>
        <v>3540.7746112766295</v>
      </c>
      <c r="E34" s="244">
        <f>D34/ABS(D30)*ABS(E30)</f>
        <v>3889.9124535084611</v>
      </c>
      <c r="F34" s="244">
        <f>E34/ABS(E30)*ABS(F30)</f>
        <v>4273.477009174715</v>
      </c>
      <c r="G34" s="244">
        <f>F34/ABS(F30)*ABS(G30)</f>
        <v>4694.8629220364919</v>
      </c>
      <c r="J34" s="216"/>
    </row>
    <row r="35" spans="1:14" x14ac:dyDescent="0.2">
      <c r="A35" s="242" t="s">
        <v>184</v>
      </c>
      <c r="B35" s="216">
        <f>'3.ROIC'!K6</f>
        <v>75</v>
      </c>
      <c r="C35" s="244">
        <f>B35/B34*C34</f>
        <v>41.762787541612227</v>
      </c>
      <c r="D35" s="244">
        <f t="shared" ref="D35:G35" si="5">C35/C34*D34</f>
        <v>45.880804396293577</v>
      </c>
      <c r="E35" s="244">
        <f t="shared" si="5"/>
        <v>50.404878025766173</v>
      </c>
      <c r="F35" s="244">
        <f t="shared" si="5"/>
        <v>55.375047630978521</v>
      </c>
      <c r="G35" s="244">
        <f t="shared" si="5"/>
        <v>60.835300475593804</v>
      </c>
    </row>
    <row r="36" spans="1:14" x14ac:dyDescent="0.2">
      <c r="A36" s="242" t="s">
        <v>185</v>
      </c>
      <c r="B36" s="216">
        <f>'3.ROIC'!K7</f>
        <v>5713</v>
      </c>
      <c r="C36" s="244">
        <f>B36/B34*C34</f>
        <v>3181.2107363364084</v>
      </c>
      <c r="D36" s="244">
        <f t="shared" ref="D36:G36" si="6">C36/C34*D34</f>
        <v>3494.8938068803359</v>
      </c>
      <c r="E36" s="244">
        <f t="shared" si="6"/>
        <v>3839.5075754826948</v>
      </c>
      <c r="F36" s="244">
        <f t="shared" si="6"/>
        <v>4218.1019615437363</v>
      </c>
      <c r="G36" s="244">
        <f t="shared" si="6"/>
        <v>4634.0276215608983</v>
      </c>
    </row>
    <row r="37" spans="1:14" x14ac:dyDescent="0.2">
      <c r="A37" s="242"/>
      <c r="B37" s="216"/>
      <c r="C37" s="244"/>
      <c r="D37" s="244"/>
      <c r="E37" s="244"/>
      <c r="F37" s="244"/>
      <c r="G37" s="244"/>
    </row>
    <row r="38" spans="1:14" x14ac:dyDescent="0.2">
      <c r="B38" s="225"/>
    </row>
    <row r="39" spans="1:14" x14ac:dyDescent="0.2">
      <c r="A39" s="78" t="s">
        <v>210</v>
      </c>
      <c r="B39" s="214">
        <f>'1.IS'!B2</f>
        <v>2016</v>
      </c>
      <c r="C39" s="214">
        <f>'1.IS'!C2</f>
        <v>2017</v>
      </c>
      <c r="D39" s="214">
        <f>'1.IS'!D2</f>
        <v>2018</v>
      </c>
      <c r="E39" s="214">
        <f>'1.IS'!E2</f>
        <v>2019</v>
      </c>
      <c r="F39" s="214">
        <f>'1.IS'!F2</f>
        <v>2020</v>
      </c>
      <c r="G39" s="214">
        <f>'1.IS'!G2</f>
        <v>2021</v>
      </c>
      <c r="H39" s="214">
        <f>'1.IS'!H2</f>
        <v>2022</v>
      </c>
      <c r="I39" s="214">
        <f>'1.IS'!I2</f>
        <v>2023</v>
      </c>
      <c r="J39" s="214">
        <f>'1.IS'!J2</f>
        <v>2024</v>
      </c>
      <c r="K39" s="214">
        <f>'1.IS'!K2</f>
        <v>2025</v>
      </c>
      <c r="L39" s="245" t="s">
        <v>139</v>
      </c>
    </row>
    <row r="40" spans="1:14" x14ac:dyDescent="0.2">
      <c r="A40" t="s">
        <v>161</v>
      </c>
      <c r="B40" s="216">
        <f>ABS(B10)</f>
        <v>0</v>
      </c>
      <c r="C40" s="216">
        <f t="shared" ref="C40:K40" si="7">ABS(C10)</f>
        <v>0</v>
      </c>
      <c r="D40" s="216">
        <f t="shared" si="7"/>
        <v>0</v>
      </c>
      <c r="E40" s="216">
        <f t="shared" si="7"/>
        <v>0</v>
      </c>
      <c r="F40" s="216">
        <f t="shared" si="7"/>
        <v>0</v>
      </c>
      <c r="G40" s="216">
        <f t="shared" si="7"/>
        <v>0</v>
      </c>
      <c r="H40" s="216">
        <f t="shared" si="7"/>
        <v>0</v>
      </c>
      <c r="I40" s="216">
        <f t="shared" si="7"/>
        <v>0</v>
      </c>
      <c r="J40" s="216">
        <f t="shared" si="7"/>
        <v>0</v>
      </c>
      <c r="K40" s="216">
        <f t="shared" si="7"/>
        <v>0</v>
      </c>
      <c r="L40" s="244">
        <f>SUM(B40:K40)</f>
        <v>0</v>
      </c>
    </row>
    <row r="41" spans="1:14" x14ac:dyDescent="0.2">
      <c r="A41" t="s">
        <v>136</v>
      </c>
      <c r="B41" s="215" t="str">
        <f>IFERROR(ABS(VLOOKUP("Common &amp; Preferred Stock Dividends Paid*",'9.TIKR_CF'!$A:$K,COLUMN(B14),FALSE)),"0")</f>
        <v>0</v>
      </c>
      <c r="C41" s="215" t="str">
        <f>IFERROR(ABS(VLOOKUP("Common &amp; Preferred Stock Dividends Paid*",'9.TIKR_CF'!$A:$K,COLUMN(C14),FALSE)),"0")</f>
        <v>0</v>
      </c>
      <c r="D41" s="215" t="str">
        <f>IFERROR(ABS(VLOOKUP("Common &amp; Preferred Stock Dividends Paid*",'9.TIKR_CF'!$A:$K,COLUMN(D14),FALSE)),"0")</f>
        <v>0</v>
      </c>
      <c r="E41" s="215" t="str">
        <f>IFERROR(ABS(VLOOKUP("Common &amp; Preferred Stock Dividends Paid*",'9.TIKR_CF'!$A:$K,COLUMN(E14),FALSE)),"0")</f>
        <v>0</v>
      </c>
      <c r="F41" s="215" t="str">
        <f>IFERROR(ABS(VLOOKUP("Common &amp; Preferred Stock Dividends Paid*",'9.TIKR_CF'!$A:$K,COLUMN(F14),FALSE)),"0")</f>
        <v>0</v>
      </c>
      <c r="G41" s="215" t="str">
        <f>IFERROR(ABS(VLOOKUP("Common &amp; Preferred Stock Dividends Paid*",'9.TIKR_CF'!$A:$K,COLUMN(G14),FALSE)),"0")</f>
        <v>0</v>
      </c>
      <c r="H41" s="215" t="str">
        <f>IFERROR(ABS(VLOOKUP("Common &amp; Preferred Stock Dividends Paid*",'9.TIKR_CF'!$A:$K,COLUMN(H14),FALSE)),"0")</f>
        <v>0</v>
      </c>
      <c r="I41" s="215" t="str">
        <f>IFERROR(ABS(VLOOKUP("Common &amp; Preferred Stock Dividends Paid*",'9.TIKR_CF'!$A:$K,COLUMN(I14),FALSE)),"0")</f>
        <v>0</v>
      </c>
      <c r="J41" s="215" t="str">
        <f>IFERROR(ABS(VLOOKUP("Common &amp; Preferred Stock Dividends Paid*",'9.TIKR_CF'!$A:$K,COLUMN(J14),FALSE)),"0")</f>
        <v>0</v>
      </c>
      <c r="K41" s="215" t="str">
        <f>IFERROR(ABS(VLOOKUP("Common &amp; Preferred Stock Dividends Paid*",'9.TIKR_CF'!$A:$K,COLUMN(K14),FALSE)),"0")</f>
        <v>0</v>
      </c>
      <c r="L41" s="244">
        <f>SUM(B41:K41)</f>
        <v>0</v>
      </c>
    </row>
    <row r="42" spans="1:14" x14ac:dyDescent="0.2">
      <c r="A42" t="s">
        <v>135</v>
      </c>
      <c r="B42" s="215">
        <f>IFERROR(ABS(VLOOKUP("Repurchase of Common Stock*",'9.TIKR_CF'!$A:$K,COLUMN(B15),FALSE)),"0")</f>
        <v>486</v>
      </c>
      <c r="C42" s="215">
        <f>IFERROR(ABS(VLOOKUP("Repurchase of Common Stock*",'9.TIKR_CF'!$A:$K,COLUMN(C15),FALSE)),"0")</f>
        <v>469</v>
      </c>
      <c r="D42" s="215">
        <f>IFERROR(ABS(VLOOKUP("Repurchase of Common Stock*",'9.TIKR_CF'!$A:$K,COLUMN(D15),FALSE)),"0")</f>
        <v>328</v>
      </c>
      <c r="E42" s="215">
        <f>IFERROR(ABS(VLOOKUP("Repurchase of Common Stock*",'9.TIKR_CF'!$A:$K,COLUMN(E15),FALSE)),"0")</f>
        <v>247</v>
      </c>
      <c r="F42" s="215">
        <f>IFERROR(ABS(VLOOKUP("Repurchase of Common Stock*",'9.TIKR_CF'!$A:$K,COLUMN(F15),FALSE)),"0")</f>
        <v>196</v>
      </c>
      <c r="G42" s="215">
        <f>IFERROR(ABS(VLOOKUP("Repurchase of Common Stock*",'9.TIKR_CF'!$A:$K,COLUMN(G15),FALSE)),"0")</f>
        <v>496</v>
      </c>
      <c r="H42" s="215">
        <f>IFERROR(ABS(VLOOKUP("Repurchase of Common Stock*",'9.TIKR_CF'!$A:$K,COLUMN(H15),FALSE)),"0")</f>
        <v>439</v>
      </c>
      <c r="I42" s="215">
        <f>IFERROR(ABS(VLOOKUP("Repurchase of Common Stock*",'9.TIKR_CF'!$A:$K,COLUMN(I15),FALSE)),"0")</f>
        <v>676</v>
      </c>
      <c r="J42" s="215">
        <f>IFERROR(ABS(VLOOKUP("Repurchase of Common Stock*",'9.TIKR_CF'!$A:$K,COLUMN(J15),FALSE)),"0")</f>
        <v>700</v>
      </c>
      <c r="K42" s="215">
        <f>IFERROR(ABS(VLOOKUP("Repurchase of Common Stock*",'9.TIKR_CF'!$A:$K,COLUMN(K15),FALSE)),"0")</f>
        <v>903</v>
      </c>
      <c r="L42" s="244">
        <f>SUM(B42:K42)</f>
        <v>4940</v>
      </c>
    </row>
    <row r="43" spans="1:14" x14ac:dyDescent="0.2">
      <c r="A43" t="s">
        <v>162</v>
      </c>
      <c r="B43" s="215">
        <f>ABS(B11)</f>
        <v>0</v>
      </c>
      <c r="C43" s="215">
        <f t="shared" ref="C43:K43" si="8">ABS(C11)</f>
        <v>0</v>
      </c>
      <c r="D43" s="215">
        <f t="shared" si="8"/>
        <v>0</v>
      </c>
      <c r="E43" s="215">
        <f t="shared" si="8"/>
        <v>0</v>
      </c>
      <c r="F43" s="215">
        <f t="shared" si="8"/>
        <v>1163</v>
      </c>
      <c r="G43" s="215">
        <f t="shared" si="8"/>
        <v>0</v>
      </c>
      <c r="H43" s="215">
        <f t="shared" si="8"/>
        <v>0</v>
      </c>
      <c r="I43" s="215">
        <f t="shared" si="8"/>
        <v>0</v>
      </c>
      <c r="J43" s="215">
        <f t="shared" si="8"/>
        <v>0</v>
      </c>
      <c r="K43" s="215">
        <f t="shared" si="8"/>
        <v>0</v>
      </c>
      <c r="L43" s="244">
        <f>SUM(B43:K43)</f>
        <v>1163</v>
      </c>
    </row>
    <row r="44" spans="1:14" x14ac:dyDescent="0.2">
      <c r="A44" t="s">
        <v>195</v>
      </c>
      <c r="B44" s="215">
        <f>IFERROR(ABS(VLOOKUP("Total Debt Repaid*",'9.TIKR_CF'!$A:$K,COLUMN(B19),FALSE))-VLOOKUP("Total Debt Issued*",'9.TIKR_CF'!$A:$K,COLUMN(B19),FALSE),0)</f>
        <v>1022</v>
      </c>
      <c r="C44" s="215">
        <f>IFERROR(ABS(VLOOKUP("Total Debt Repaid*",'9.TIKR_CF'!$A:$K,COLUMN(C19),FALSE))-VLOOKUP("Total Debt Issued*",'9.TIKR_CF'!$A:$K,COLUMN(C19),FALSE),0)</f>
        <v>-1346</v>
      </c>
      <c r="D44" s="215">
        <f>IFERROR(ABS(VLOOKUP("Total Debt Repaid*",'9.TIKR_CF'!$A:$K,COLUMN(D19),FALSE))-VLOOKUP("Total Debt Issued*",'9.TIKR_CF'!$A:$K,COLUMN(D19),FALSE),0)</f>
        <v>6</v>
      </c>
      <c r="E44" s="215">
        <f>IFERROR(ABS(VLOOKUP("Total Debt Repaid*",'9.TIKR_CF'!$A:$K,COLUMN(E19),FALSE))-VLOOKUP("Total Debt Issued*",'9.TIKR_CF'!$A:$K,COLUMN(E19),FALSE),0)</f>
        <v>-419</v>
      </c>
      <c r="F44" s="215">
        <f>IFERROR(ABS(VLOOKUP("Total Debt Repaid*",'9.TIKR_CF'!$A:$K,COLUMN(F19),FALSE))-VLOOKUP("Total Debt Issued*",'9.TIKR_CF'!$A:$K,COLUMN(F19),FALSE),0)</f>
        <v>-792</v>
      </c>
      <c r="G44" s="215">
        <f>IFERROR(ABS(VLOOKUP("Total Debt Repaid*",'9.TIKR_CF'!$A:$K,COLUMN(G19),FALSE))-VLOOKUP("Total Debt Issued*",'9.TIKR_CF'!$A:$K,COLUMN(G19),FALSE),0)</f>
        <v>120</v>
      </c>
      <c r="H44" s="215">
        <f>IFERROR(ABS(VLOOKUP("Total Debt Repaid*",'9.TIKR_CF'!$A:$K,COLUMN(H19),FALSE))-VLOOKUP("Total Debt Issued*",'9.TIKR_CF'!$A:$K,COLUMN(H19),FALSE),0)</f>
        <v>933</v>
      </c>
      <c r="I44" s="215">
        <f>IFERROR(ABS(VLOOKUP("Total Debt Repaid*",'9.TIKR_CF'!$A:$K,COLUMN(I19),FALSE))-VLOOKUP("Total Debt Issued*",'9.TIKR_CF'!$A:$K,COLUMN(I19),FALSE),0)</f>
        <v>384</v>
      </c>
      <c r="J44" s="215">
        <f>IFERROR(ABS(VLOOKUP("Total Debt Repaid*",'9.TIKR_CF'!$A:$K,COLUMN(J19),FALSE))-VLOOKUP("Total Debt Issued*",'9.TIKR_CF'!$A:$K,COLUMN(J19),FALSE),0)</f>
        <v>708</v>
      </c>
      <c r="K44" s="215">
        <f>IFERROR(ABS(VLOOKUP("Total Debt Repaid*",'9.TIKR_CF'!$A:$K,COLUMN(K19),FALSE))-VLOOKUP("Total Debt Issued*",'9.TIKR_CF'!$A:$K,COLUMN(K19),FALSE),0)</f>
        <v>296</v>
      </c>
      <c r="L44" s="244">
        <f>SUM(B44:K44)</f>
        <v>912</v>
      </c>
    </row>
    <row r="45" spans="1:14" x14ac:dyDescent="0.2">
      <c r="A45" t="s">
        <v>221</v>
      </c>
      <c r="B45" s="224">
        <f>IFERROR(SUM('3.ROIC'!B4:B5)/'1.IS'!B3,"")</f>
        <v>3.9833556549499237E-2</v>
      </c>
      <c r="C45" s="224">
        <f>IFERROR(SUM('3.ROIC'!C4:C5)/'1.IS'!C3,"")</f>
        <v>4.4789769424530126E-2</v>
      </c>
      <c r="D45" s="224">
        <f>IFERROR(SUM('3.ROIC'!D4:D5)/'1.IS'!D3,"")</f>
        <v>5.1272814601344863E-2</v>
      </c>
      <c r="E45" s="224">
        <f>IFERROR(SUM('3.ROIC'!E4:E5)/'1.IS'!E3,"")</f>
        <v>6.1845543309561699E-2</v>
      </c>
      <c r="F45" s="224">
        <f>IFERROR(SUM('3.ROIC'!F4:F5)/'1.IS'!F3,"")</f>
        <v>7.9784841779552779E-2</v>
      </c>
      <c r="G45" s="224">
        <f>IFERROR(SUM('3.ROIC'!G4:G5)/'1.IS'!G3,"")</f>
        <v>6.2139856784855736E-2</v>
      </c>
      <c r="H45" s="224">
        <f>IFERROR(SUM('3.ROIC'!H4:H5)/'1.IS'!H3,"")</f>
        <v>4.8683874265269614E-2</v>
      </c>
      <c r="I45" s="224">
        <f>IFERROR(SUM('3.ROIC'!I4:I5)/'1.IS'!I3,"")</f>
        <v>6.2875067068389121E-2</v>
      </c>
      <c r="J45" s="224">
        <f>IFERROR(SUM('3.ROIC'!J4:J5)/'1.IS'!J3,"")</f>
        <v>4.3795907299186886E-2</v>
      </c>
      <c r="K45" s="224">
        <f>IFERROR(SUM('3.ROIC'!K4:K5)/'1.IS'!K3,"")</f>
        <v>5.5530728286736789E-2</v>
      </c>
      <c r="L45" s="244"/>
      <c r="N45" s="278"/>
    </row>
    <row r="47" spans="1:14" x14ac:dyDescent="0.2">
      <c r="A47" s="75" t="s">
        <v>206</v>
      </c>
    </row>
    <row r="48" spans="1:14" x14ac:dyDescent="0.2">
      <c r="A48" s="78"/>
      <c r="B48" s="214">
        <f>'1.IS'!C$2</f>
        <v>2017</v>
      </c>
      <c r="C48" s="214">
        <f>'1.IS'!D$2</f>
        <v>2018</v>
      </c>
      <c r="D48" s="214">
        <f>'1.IS'!E$2</f>
        <v>2019</v>
      </c>
      <c r="E48" s="214">
        <f>'1.IS'!F$2</f>
        <v>2020</v>
      </c>
      <c r="F48" s="214">
        <f>'1.IS'!G$2</f>
        <v>2021</v>
      </c>
      <c r="G48" s="214">
        <f>'1.IS'!H$2</f>
        <v>2022</v>
      </c>
      <c r="H48" s="214">
        <f>'1.IS'!I$2</f>
        <v>2023</v>
      </c>
      <c r="I48" s="214">
        <f>'1.IS'!J$2</f>
        <v>2024</v>
      </c>
      <c r="J48" s="214">
        <f>'1.IS'!K$2</f>
        <v>2025</v>
      </c>
      <c r="K48" s="214"/>
      <c r="L48" s="223"/>
    </row>
    <row r="49" spans="1:12" x14ac:dyDescent="0.2">
      <c r="A49" s="171" t="s">
        <v>91</v>
      </c>
      <c r="B49" s="226">
        <f>'1.IS'!C4</f>
        <v>8.6810030407938069E-2</v>
      </c>
      <c r="C49" s="226">
        <f>'1.IS'!D4</f>
        <v>9.7275721759348968E-2</v>
      </c>
      <c r="D49" s="226">
        <f>'1.IS'!E4</f>
        <v>7.8593829462620779E-2</v>
      </c>
      <c r="E49" s="226">
        <f>'1.IS'!F4</f>
        <v>9.2061059704131545E-2</v>
      </c>
      <c r="F49" s="226">
        <f>'1.IS'!G4</f>
        <v>0.1749090015051481</v>
      </c>
      <c r="G49" s="226">
        <f>'1.IS'!H4</f>
        <v>0.15834817714580282</v>
      </c>
      <c r="H49" s="226">
        <f>'1.IS'!I4</f>
        <v>6.7573164606043512E-2</v>
      </c>
      <c r="I49" s="226">
        <f>'1.IS'!J4</f>
        <v>5.0200173345990341E-2</v>
      </c>
      <c r="J49" s="226">
        <f>'1.IS'!K4</f>
        <v>8.1673236314761463E-2</v>
      </c>
      <c r="L49" s="226"/>
    </row>
    <row r="50" spans="1:12" x14ac:dyDescent="0.2">
      <c r="A50" s="171" t="s">
        <v>18</v>
      </c>
      <c r="B50" s="226">
        <f>'1.IS'!C24</f>
        <v>0.15488338443477528</v>
      </c>
      <c r="C50" s="226">
        <f>'1.IS'!D24</f>
        <v>0.15552294301487224</v>
      </c>
      <c r="D50" s="226">
        <f>'1.IS'!E24</f>
        <v>0.16519539692778354</v>
      </c>
      <c r="E50" s="226">
        <f>'1.IS'!F24</f>
        <v>0.10622993899436986</v>
      </c>
      <c r="F50" s="226">
        <f>'1.IS'!G24</f>
        <v>0.24629846558072493</v>
      </c>
      <c r="G50" s="226">
        <f>'1.IS'!H24</f>
        <v>0.16509053977568902</v>
      </c>
      <c r="H50" s="226">
        <f>'1.IS'!I24</f>
        <v>0.13864169685159794</v>
      </c>
      <c r="I50" s="226">
        <f>'1.IS'!J24</f>
        <v>9.8327581676828202E-2</v>
      </c>
      <c r="J50" s="226">
        <f>'1.IS'!K24</f>
        <v>9.6520404621876804E-2</v>
      </c>
      <c r="L50" s="226"/>
    </row>
    <row r="51" spans="1:12" x14ac:dyDescent="0.2">
      <c r="A51" s="171" t="s">
        <v>92</v>
      </c>
      <c r="B51" s="226">
        <f>'2.FCF'!C16</f>
        <v>-4.7041420118343193</v>
      </c>
      <c r="C51" s="226">
        <f>'2.FCF'!D16</f>
        <v>-0.65575079872204478</v>
      </c>
      <c r="D51" s="226">
        <f>'2.FCF'!E16</f>
        <v>1.1276102088167053</v>
      </c>
      <c r="E51" s="226">
        <f>'2.FCF'!F16</f>
        <v>2.2279171210468922</v>
      </c>
      <c r="F51" s="226">
        <f>'2.FCF'!G16</f>
        <v>-0.50270270270270268</v>
      </c>
      <c r="G51" s="226">
        <f>'2.FCF'!H16</f>
        <v>-1.3403532608695652</v>
      </c>
      <c r="H51" s="226">
        <f>'2.FCF'!I16</f>
        <v>-7.6007984031936129</v>
      </c>
      <c r="I51" s="226">
        <f>'2.FCF'!J16</f>
        <v>-0.3238584820078621</v>
      </c>
      <c r="J51" s="226">
        <f>'2.FCF'!K16</f>
        <v>0.45125223613595705</v>
      </c>
      <c r="L51" s="226"/>
    </row>
    <row r="52" spans="1:12" x14ac:dyDescent="0.2">
      <c r="A52" s="2"/>
      <c r="B52" s="227"/>
      <c r="C52" s="227"/>
      <c r="D52" s="227"/>
      <c r="E52" s="227"/>
      <c r="F52" s="227"/>
      <c r="G52" s="227"/>
      <c r="H52" s="227"/>
      <c r="I52" s="227"/>
    </row>
    <row r="53" spans="1:12" x14ac:dyDescent="0.2">
      <c r="A53" s="211" t="s">
        <v>207</v>
      </c>
      <c r="B53" s="227"/>
      <c r="C53" s="227"/>
      <c r="D53" s="227"/>
      <c r="E53" s="227"/>
      <c r="F53" s="227"/>
      <c r="G53" s="227"/>
      <c r="H53" s="227"/>
      <c r="I53" s="227"/>
    </row>
    <row r="54" spans="1:12" x14ac:dyDescent="0.2">
      <c r="A54" s="78"/>
      <c r="B54" s="223">
        <f>'1.IS'!B$2</f>
        <v>2016</v>
      </c>
      <c r="C54" s="223">
        <f>'1.IS'!C$2</f>
        <v>2017</v>
      </c>
      <c r="D54" s="223">
        <f>'1.IS'!D$2</f>
        <v>2018</v>
      </c>
      <c r="E54" s="223">
        <f>'1.IS'!E$2</f>
        <v>2019</v>
      </c>
      <c r="F54" s="223">
        <f>'1.IS'!F$2</f>
        <v>2020</v>
      </c>
      <c r="G54" s="223">
        <f>'1.IS'!G$2</f>
        <v>2021</v>
      </c>
      <c r="H54" s="223">
        <f>'1.IS'!H$2</f>
        <v>2022</v>
      </c>
      <c r="I54" s="223">
        <f>'1.IS'!I$2</f>
        <v>2023</v>
      </c>
      <c r="J54" s="223">
        <f>'1.IS'!J$2</f>
        <v>2024</v>
      </c>
      <c r="K54" s="223">
        <f>'1.IS'!K$2</f>
        <v>2025</v>
      </c>
      <c r="L54" s="223"/>
    </row>
    <row r="55" spans="1:12" x14ac:dyDescent="0.2">
      <c r="A55" s="171" t="s">
        <v>2</v>
      </c>
      <c r="B55" s="228">
        <f>'1.IS'!B6</f>
        <v>3.0930179667955426E-2</v>
      </c>
      <c r="C55" s="228">
        <f>'1.IS'!C6</f>
        <v>3.1862042239875994E-2</v>
      </c>
      <c r="D55" s="228">
        <f>'1.IS'!D6</f>
        <v>3.164378143188111E-2</v>
      </c>
      <c r="E55" s="228">
        <f>'1.IS'!E6</f>
        <v>3.1021001552032378E-2</v>
      </c>
      <c r="F55" s="228">
        <f>'1.IS'!F6</f>
        <v>3.259155318089961E-2</v>
      </c>
      <c r="G55" s="228">
        <f>'1.IS'!G6</f>
        <v>3.4665618667986869E-2</v>
      </c>
      <c r="H55" s="228">
        <f>'1.IS'!H6</f>
        <v>3.4857283854878081E-2</v>
      </c>
      <c r="I55" s="228">
        <f>'1.IS'!I6</f>
        <v>3.5102563044285773E-2</v>
      </c>
      <c r="J55" s="228">
        <f>'1.IS'!J6</f>
        <v>3.6490039417888566E-2</v>
      </c>
      <c r="K55" s="228">
        <f>'1.IS'!K6</f>
        <v>3.7724126655403561E-2</v>
      </c>
      <c r="L55" s="228"/>
    </row>
    <row r="56" spans="1:12" x14ac:dyDescent="0.2">
      <c r="A56" s="171" t="s">
        <v>4</v>
      </c>
      <c r="B56" s="228">
        <f>'1.IS'!B10</f>
        <v>3.0930179667955426E-2</v>
      </c>
      <c r="C56" s="228">
        <f>'1.IS'!C10</f>
        <v>3.1862042239875994E-2</v>
      </c>
      <c r="D56" s="228">
        <f>'1.IS'!D10</f>
        <v>3.164378143188111E-2</v>
      </c>
      <c r="E56" s="228">
        <f>'1.IS'!E10</f>
        <v>3.1021001552032378E-2</v>
      </c>
      <c r="F56" s="228">
        <f>'1.IS'!F10</f>
        <v>3.259155318089961E-2</v>
      </c>
      <c r="G56" s="228">
        <f>'1.IS'!G10</f>
        <v>3.4665618667986869E-2</v>
      </c>
      <c r="H56" s="228">
        <f>'1.IS'!H10</f>
        <v>3.4857283854878081E-2</v>
      </c>
      <c r="I56" s="228">
        <f>'1.IS'!I10</f>
        <v>3.5102563044285773E-2</v>
      </c>
      <c r="J56" s="228">
        <f>'1.IS'!J10</f>
        <v>3.6490039417888566E-2</v>
      </c>
      <c r="K56" s="228">
        <f>'1.IS'!K10</f>
        <v>3.7724126655403561E-2</v>
      </c>
      <c r="L56" s="228"/>
    </row>
    <row r="57" spans="1:12" x14ac:dyDescent="0.2">
      <c r="A57" s="171" t="s">
        <v>6</v>
      </c>
      <c r="B57" s="228">
        <f>'2.FCF'!B15</f>
        <v>-2.8470590217235655E-3</v>
      </c>
      <c r="C57" s="228">
        <f>'2.FCF'!C15</f>
        <v>9.7035458244526251E-3</v>
      </c>
      <c r="D57" s="228">
        <f>'2.FCF'!D15</f>
        <v>3.0443012940046337E-3</v>
      </c>
      <c r="E57" s="228">
        <f>'2.FCF'!E15</f>
        <v>6.0051210519767133E-3</v>
      </c>
      <c r="F57" s="228">
        <f>'2.FCF'!F15</f>
        <v>1.774995352630411E-2</v>
      </c>
      <c r="G57" s="228">
        <f>'2.FCF'!G15</f>
        <v>7.5129256006002173E-3</v>
      </c>
      <c r="H57" s="228">
        <f>'2.FCF'!H15</f>
        <v>-2.2074957920988395E-3</v>
      </c>
      <c r="I57" s="228">
        <f>'2.FCF'!I15</f>
        <v>1.3648933096702299E-2</v>
      </c>
      <c r="J57" s="228">
        <f>'2.FCF'!J15</f>
        <v>8.7874774516315396E-3</v>
      </c>
      <c r="K57" s="228">
        <f>'2.FCF'!K15</f>
        <v>1.1789924973204717E-2</v>
      </c>
      <c r="L57" s="228"/>
    </row>
    <row r="58" spans="1:12" x14ac:dyDescent="0.2">
      <c r="A58" s="2"/>
      <c r="B58" s="227"/>
      <c r="C58" s="226"/>
      <c r="D58" s="226"/>
      <c r="E58" s="226"/>
      <c r="F58" s="226"/>
      <c r="G58" s="226"/>
      <c r="H58" s="226"/>
      <c r="L58" s="227"/>
    </row>
    <row r="59" spans="1:12" x14ac:dyDescent="0.2">
      <c r="A59" s="211" t="s">
        <v>208</v>
      </c>
      <c r="B59" s="227"/>
      <c r="C59" s="226"/>
      <c r="D59" s="226"/>
      <c r="E59" s="226"/>
      <c r="F59" s="226"/>
      <c r="G59" s="226"/>
      <c r="H59" s="226"/>
      <c r="L59" s="227"/>
    </row>
    <row r="60" spans="1:12" x14ac:dyDescent="0.2">
      <c r="A60" s="78"/>
      <c r="B60" s="223">
        <f>'1.IS'!B$2</f>
        <v>2016</v>
      </c>
      <c r="C60" s="223">
        <f>'1.IS'!C$2</f>
        <v>2017</v>
      </c>
      <c r="D60" s="223">
        <f>'1.IS'!D$2</f>
        <v>2018</v>
      </c>
      <c r="E60" s="223">
        <f>'1.IS'!E$2</f>
        <v>2019</v>
      </c>
      <c r="F60" s="223">
        <f>'1.IS'!F$2</f>
        <v>2020</v>
      </c>
      <c r="G60" s="223">
        <f>'1.IS'!G$2</f>
        <v>2021</v>
      </c>
      <c r="H60" s="223">
        <f>'1.IS'!H$2</f>
        <v>2022</v>
      </c>
      <c r="I60" s="223">
        <f>'1.IS'!I$2</f>
        <v>2023</v>
      </c>
      <c r="J60" s="223">
        <f>'1.IS'!J$2</f>
        <v>2024</v>
      </c>
      <c r="K60" s="223">
        <f>'1.IS'!K$2</f>
        <v>2025</v>
      </c>
      <c r="L60" s="223"/>
    </row>
    <row r="61" spans="1:12" x14ac:dyDescent="0.2">
      <c r="A61" s="171" t="s">
        <v>6</v>
      </c>
      <c r="B61" s="229">
        <f>'2.FCF'!B14</f>
        <v>-338</v>
      </c>
      <c r="C61" s="229">
        <f>'2.FCF'!C14</f>
        <v>1252</v>
      </c>
      <c r="D61" s="229">
        <f>'2.FCF'!D14</f>
        <v>431</v>
      </c>
      <c r="E61" s="229">
        <f>'2.FCF'!E14</f>
        <v>917</v>
      </c>
      <c r="F61" s="229">
        <f>'2.FCF'!F14</f>
        <v>2960</v>
      </c>
      <c r="G61" s="229">
        <f>'2.FCF'!G14</f>
        <v>1472</v>
      </c>
      <c r="H61" s="229">
        <f>'2.FCF'!H14</f>
        <v>-501</v>
      </c>
      <c r="I61" s="229">
        <f>'2.FCF'!I14</f>
        <v>3307</v>
      </c>
      <c r="J61" s="229">
        <f>'2.FCF'!J14</f>
        <v>2236</v>
      </c>
      <c r="K61" s="229">
        <f>'2.FCF'!K14</f>
        <v>3245</v>
      </c>
      <c r="L61" s="227"/>
    </row>
    <row r="62" spans="1:12" x14ac:dyDescent="0.2">
      <c r="A62" s="171" t="s">
        <v>105</v>
      </c>
      <c r="B62" s="226">
        <f>'3.ROIC'!B15</f>
        <v>0.14848894153752235</v>
      </c>
      <c r="C62" s="226">
        <f>'3.ROIC'!C15</f>
        <v>0.16712278457882784</v>
      </c>
      <c r="D62" s="226">
        <f>'3.ROIC'!D15</f>
        <v>0.17281155239436116</v>
      </c>
      <c r="E62" s="226">
        <f>'3.ROIC'!E15</f>
        <v>0.16862353325655585</v>
      </c>
      <c r="F62" s="226">
        <f>'3.ROIC'!F15</f>
        <v>0.14288102078694342</v>
      </c>
      <c r="G62" s="226">
        <f>'3.ROIC'!G15</f>
        <v>0.18061322567354135</v>
      </c>
      <c r="H62" s="226">
        <f>'3.ROIC'!H15</f>
        <v>0.19416106386402743</v>
      </c>
      <c r="I62" s="226">
        <f>'3.ROIC'!I15</f>
        <v>0.1875276654690648</v>
      </c>
      <c r="J62" s="226">
        <f>'3.ROIC'!J15</f>
        <v>0.21654406731289444</v>
      </c>
      <c r="K62" s="226">
        <f>'3.ROIC'!K15</f>
        <v>0.20391985179174471</v>
      </c>
      <c r="L62" s="226"/>
    </row>
    <row r="63" spans="1:12" x14ac:dyDescent="0.2">
      <c r="A63" s="2"/>
      <c r="B63" s="227"/>
      <c r="C63" s="227"/>
      <c r="D63" s="227"/>
      <c r="E63" s="227"/>
      <c r="F63" s="227"/>
      <c r="G63" s="227"/>
      <c r="H63" s="227"/>
      <c r="L63" s="227"/>
    </row>
    <row r="64" spans="1:12" x14ac:dyDescent="0.2">
      <c r="A64" s="78" t="s">
        <v>209</v>
      </c>
      <c r="B64" s="223">
        <f>'1.IS'!B$2</f>
        <v>2016</v>
      </c>
      <c r="C64" s="223">
        <f>'1.IS'!C$2</f>
        <v>2017</v>
      </c>
      <c r="D64" s="223">
        <f>'1.IS'!D$2</f>
        <v>2018</v>
      </c>
      <c r="E64" s="223">
        <f>'1.IS'!E$2</f>
        <v>2019</v>
      </c>
      <c r="F64" s="223">
        <f>'1.IS'!F$2</f>
        <v>2020</v>
      </c>
      <c r="G64" s="223">
        <f>'1.IS'!G$2</f>
        <v>2021</v>
      </c>
      <c r="H64" s="223">
        <f>'1.IS'!H$2</f>
        <v>2022</v>
      </c>
      <c r="I64" s="223">
        <f>'1.IS'!I$2</f>
        <v>2023</v>
      </c>
      <c r="J64" s="223">
        <f>'1.IS'!J$2</f>
        <v>2024</v>
      </c>
      <c r="K64" s="223">
        <f>'1.IS'!K$2</f>
        <v>2025</v>
      </c>
      <c r="L64" s="223"/>
    </row>
    <row r="65" spans="1:12" x14ac:dyDescent="0.2">
      <c r="A65" s="171" t="s">
        <v>97</v>
      </c>
      <c r="B65" s="230">
        <f>IFERROR(('1.IS'!B3-'1.IS'!B5)/'1.IS'!B3,"")</f>
        <v>0.96906982033204458</v>
      </c>
      <c r="C65" s="230">
        <f>IFERROR(('1.IS'!C3-'1.IS'!C5)/'1.IS'!C3,"")</f>
        <v>0.96813795776012401</v>
      </c>
      <c r="D65" s="230">
        <f>IFERROR(('1.IS'!D3-'1.IS'!D5)/'1.IS'!D3,"")</f>
        <v>0.96835621856811893</v>
      </c>
      <c r="E65" s="230">
        <f>IFERROR(('1.IS'!E3-'1.IS'!E5)/'1.IS'!E3,"")</f>
        <v>0.96897899844796764</v>
      </c>
      <c r="F65" s="230">
        <f>IFERROR(('1.IS'!F3-'1.IS'!F5)/'1.IS'!F3,"")</f>
        <v>0.96740844681910043</v>
      </c>
      <c r="G65" s="230">
        <f>IFERROR(('1.IS'!G3-'1.IS'!G5)/'1.IS'!G3,"")</f>
        <v>0.9653343813320131</v>
      </c>
      <c r="H65" s="230">
        <f>IFERROR(('1.IS'!H3-'1.IS'!H5)/'1.IS'!H3,"")</f>
        <v>0.96514271614512193</v>
      </c>
      <c r="I65" s="230">
        <f>IFERROR(('1.IS'!I3-'1.IS'!I5)/'1.IS'!I3,"")</f>
        <v>0.96489743695571417</v>
      </c>
      <c r="J65" s="230">
        <f>IFERROR(('1.IS'!J3-'1.IS'!J5)/'1.IS'!J3,"")</f>
        <v>0.96350996058211147</v>
      </c>
      <c r="K65" s="230">
        <f>IFERROR(('1.IS'!K3-'1.IS'!K5)/'1.IS'!K3,"")</f>
        <v>0.96227587334459641</v>
      </c>
      <c r="L65" s="226"/>
    </row>
    <row r="66" spans="1:12" x14ac:dyDescent="0.2">
      <c r="A66" s="171" t="s">
        <v>103</v>
      </c>
      <c r="B66" s="230">
        <f>'2.FCF'!B22</f>
        <v>2.231319333889268E-2</v>
      </c>
      <c r="C66" s="230">
        <f>'2.FCF'!C22</f>
        <v>1.9391590776981205E-2</v>
      </c>
      <c r="D66" s="230">
        <f>'2.FCF'!D22</f>
        <v>2.0971068542690853E-2</v>
      </c>
      <c r="E66" s="230">
        <f>'2.FCF'!E22</f>
        <v>1.9632882130671957E-2</v>
      </c>
      <c r="F66" s="230">
        <f>'2.FCF'!F22</f>
        <v>1.685046263814681E-2</v>
      </c>
      <c r="G66" s="230">
        <f>'2.FCF'!G22</f>
        <v>1.8312756151463029E-2</v>
      </c>
      <c r="H66" s="230">
        <f>'2.FCF'!H22</f>
        <v>1.7144443367378411E-2</v>
      </c>
      <c r="I66" s="230">
        <f>'2.FCF'!I22</f>
        <v>1.7842255148788642E-2</v>
      </c>
      <c r="J66" s="230">
        <f>'2.FCF'!J22</f>
        <v>1.8510294632014555E-2</v>
      </c>
      <c r="K66" s="230">
        <f>'2.FCF'!K22</f>
        <v>1.9975657165694771E-2</v>
      </c>
      <c r="L66" s="226"/>
    </row>
    <row r="67" spans="1:12" x14ac:dyDescent="0.2">
      <c r="A67" s="171" t="s">
        <v>94</v>
      </c>
      <c r="B67" s="230">
        <f>IFERROR(('1.IS'!B14/'1.IS'!B3),"")</f>
        <v>-7.7493914200759773E-4</v>
      </c>
      <c r="C67" s="230">
        <f>IFERROR(('1.IS'!C14/'1.IS'!C3),"")</f>
        <v>-6.5103662080992053E-4</v>
      </c>
      <c r="D67" s="230">
        <f>IFERROR(('1.IS'!D14/'1.IS'!D3),"")</f>
        <v>-5.9332090184777077E-4</v>
      </c>
      <c r="E67" s="230">
        <f>IFERROR(('1.IS'!E14/'1.IS'!E3),"")</f>
        <v>-1.5716783560244395E-4</v>
      </c>
      <c r="F67" s="230">
        <f>IFERROR(('1.IS'!F14/'1.IS'!F3),"")</f>
        <v>-4.2575902039445674E-4</v>
      </c>
      <c r="G67" s="230">
        <f>IFERROR(('1.IS'!G14/'1.IS'!G3),"")</f>
        <v>-6.6350565766170396E-4</v>
      </c>
      <c r="H67" s="230">
        <f>IFERROR(('1.IS'!H14/'1.IS'!H3),"")</f>
        <v>-4.273993848973801E-4</v>
      </c>
      <c r="I67" s="230">
        <f>IFERROR(('1.IS'!I14/'1.IS'!I3),"")</f>
        <v>1.279458500144455E-3</v>
      </c>
      <c r="J67" s="230">
        <f>IFERROR(('1.IS'!J14/'1.IS'!J3),"")</f>
        <v>1.4305195851493204E-3</v>
      </c>
      <c r="K67" s="230">
        <f>IFERROR(('1.IS'!K14/'1.IS'!K3),"")</f>
        <v>1.1444765382309663E-3</v>
      </c>
      <c r="L67" s="226"/>
    </row>
    <row r="68" spans="1:12" x14ac:dyDescent="0.2">
      <c r="A68" s="171" t="s">
        <v>95</v>
      </c>
      <c r="B68" s="230">
        <f>IFERROR(('1.IS'!B16+'1.IS'!B19)/'1.IS'!B3,"")</f>
        <v>-1.0689106208778713E-2</v>
      </c>
      <c r="C68" s="230">
        <f>IFERROR(('1.IS'!C16+'1.IS'!C19)/'1.IS'!C3,"")</f>
        <v>-1.0540592908351095E-2</v>
      </c>
      <c r="D68" s="230">
        <f>IFERROR(('1.IS'!D16+'1.IS'!D19)/'1.IS'!D3,"")</f>
        <v>-9.2388540430581451E-3</v>
      </c>
      <c r="E68" s="230">
        <f>IFERROR(('1.IS'!E16+'1.IS'!E19)/'1.IS'!E3,"")</f>
        <v>-7.2428177573459589E-3</v>
      </c>
      <c r="F68" s="230">
        <f>IFERROR(('1.IS'!F16+'1.IS'!F19)/'1.IS'!F3,"")</f>
        <v>-8.1853670822314567E-3</v>
      </c>
      <c r="G68" s="230">
        <f>IFERROR(('1.IS'!G16+'1.IS'!G19)/'1.IS'!G3,"")</f>
        <v>-8.5388074251386975E-3</v>
      </c>
      <c r="H68" s="230">
        <f>IFERROR(('1.IS'!H16+'1.IS'!H19)/'1.IS'!H3,"")</f>
        <v>-8.7947337345893883E-3</v>
      </c>
      <c r="I68" s="230">
        <f>IFERROR(('1.IS'!I16+'1.IS'!I19)/'1.IS'!I3,"")</f>
        <v>-9.0593916381196092E-3</v>
      </c>
      <c r="J68" s="230">
        <f>IFERROR(('1.IS'!J16+'1.IS'!J19)/'1.IS'!J3,"")</f>
        <v>-9.3258872954926839E-3</v>
      </c>
      <c r="K68" s="230">
        <f>IFERROR(('1.IS'!K16+'1.IS'!K19)/'1.IS'!K3,"")</f>
        <v>-9.8788308173015787E-3</v>
      </c>
      <c r="L68" s="226"/>
    </row>
    <row r="69" spans="1:12" x14ac:dyDescent="0.2">
      <c r="A69" s="171" t="s">
        <v>96</v>
      </c>
      <c r="B69" s="230"/>
      <c r="C69" s="230">
        <f>IFERROR('2.FCF'!C12/'1.IS'!C3,"")</f>
        <v>-8.4247238907188531E-3</v>
      </c>
      <c r="D69" s="230">
        <f>IFERROR('2.FCF'!D12/'1.IS'!D3,"")</f>
        <v>-2.2037633497202914E-3</v>
      </c>
      <c r="E69" s="230">
        <f>IFERROR('2.FCF'!E12/'1.IS'!E3,"")</f>
        <v>-2.0169872235646976E-3</v>
      </c>
      <c r="F69" s="230">
        <f>IFERROR('2.FCF'!F12/'1.IS'!F3,"")</f>
        <v>-1.0619989086177223E-2</v>
      </c>
      <c r="G69" s="230">
        <f>IFERROR('2.FCF'!G12/'1.IS'!G3,"")</f>
        <v>-3.623761668767768E-4</v>
      </c>
      <c r="H69" s="230">
        <f>IFERROR('2.FCF'!H12/'1.IS'!H3,"")</f>
        <v>1.0698203160111741E-2</v>
      </c>
      <c r="I69" s="230">
        <f>IFERROR('2.FCF'!I12/'1.IS'!I3,"")</f>
        <v>-4.1685583391803211E-3</v>
      </c>
      <c r="J69" s="230">
        <f>IFERROR('2.FCF'!J12/'1.IS'!J3,"")</f>
        <v>1.296899623899109E-3</v>
      </c>
      <c r="K69" s="230">
        <f>IFERROR('2.FCF'!K12/'1.IS'!K3,"")</f>
        <v>-2.775809762566534E-3</v>
      </c>
      <c r="L69" s="226"/>
    </row>
    <row r="71" spans="1:12" x14ac:dyDescent="0.2">
      <c r="A71" s="78" t="s">
        <v>166</v>
      </c>
      <c r="B71" s="223">
        <f>'1.IS'!B2</f>
        <v>2016</v>
      </c>
      <c r="C71" s="223">
        <f>'1.IS'!C2</f>
        <v>2017</v>
      </c>
      <c r="D71" s="223">
        <f>'1.IS'!D2</f>
        <v>2018</v>
      </c>
      <c r="E71" s="223">
        <f>'1.IS'!E2</f>
        <v>2019</v>
      </c>
      <c r="F71" s="223">
        <f>'1.IS'!F2</f>
        <v>2020</v>
      </c>
      <c r="G71" s="223">
        <f>'1.IS'!G2</f>
        <v>2021</v>
      </c>
      <c r="H71" s="223">
        <f>'1.IS'!H2</f>
        <v>2022</v>
      </c>
      <c r="I71" s="223">
        <f>'1.IS'!I2</f>
        <v>2023</v>
      </c>
      <c r="J71" s="223">
        <f>'1.IS'!J2</f>
        <v>2024</v>
      </c>
      <c r="K71" s="223">
        <f>'1.IS'!K2</f>
        <v>2025</v>
      </c>
      <c r="L71" s="245" t="s">
        <v>138</v>
      </c>
    </row>
    <row r="72" spans="1:12" x14ac:dyDescent="0.2">
      <c r="A72" s="171" t="s">
        <v>167</v>
      </c>
      <c r="C72" s="215">
        <f>IF('1.IS'!C4&lt;0,1,0)</f>
        <v>0</v>
      </c>
      <c r="D72" s="215">
        <f>IF('1.IS'!D4&lt;0,1,0)</f>
        <v>0</v>
      </c>
      <c r="E72" s="215">
        <f>IF('1.IS'!E4&lt;0,1,0)</f>
        <v>0</v>
      </c>
      <c r="F72" s="215">
        <f>IF('1.IS'!F4&lt;0,1,0)</f>
        <v>0</v>
      </c>
      <c r="G72" s="215">
        <f>IF('1.IS'!G4&lt;0,1,0)</f>
        <v>0</v>
      </c>
      <c r="H72" s="215">
        <f>IF('1.IS'!H4&lt;0,1,0)</f>
        <v>0</v>
      </c>
      <c r="I72" s="215">
        <f>IF('1.IS'!I4&lt;0,1,0)</f>
        <v>0</v>
      </c>
      <c r="J72" s="215">
        <f>IF('1.IS'!J4&lt;0,1,0)</f>
        <v>0</v>
      </c>
      <c r="K72" s="215">
        <f>IF('1.IS'!K4&lt;0,1,0)</f>
        <v>0</v>
      </c>
      <c r="L72" s="246">
        <f>SUM(B72:K72)</f>
        <v>0</v>
      </c>
    </row>
    <row r="73" spans="1:12" x14ac:dyDescent="0.2">
      <c r="A73" s="171" t="s">
        <v>168</v>
      </c>
      <c r="C73" s="215">
        <f>IF('1.IS'!C10&lt;'1.IS'!B10,1,0)</f>
        <v>0</v>
      </c>
      <c r="D73" s="215">
        <f>IF('1.IS'!D10&lt;'1.IS'!C10,1,0)</f>
        <v>1</v>
      </c>
      <c r="E73" s="215">
        <f>IF('1.IS'!E10&lt;'1.IS'!D10,1,0)</f>
        <v>1</v>
      </c>
      <c r="F73" s="215">
        <f>IF('1.IS'!F10&lt;'1.IS'!E10,1,0)</f>
        <v>0</v>
      </c>
      <c r="G73" s="215">
        <f>IF('1.IS'!G10&lt;'1.IS'!F10,1,0)</f>
        <v>0</v>
      </c>
      <c r="H73" s="215">
        <f>IF('1.IS'!H10&lt;'1.IS'!G10,1,0)</f>
        <v>0</v>
      </c>
      <c r="I73" s="215">
        <f>IF('1.IS'!I10&lt;'1.IS'!H10,1,0)</f>
        <v>0</v>
      </c>
      <c r="J73" s="215">
        <f>IF('1.IS'!J10&lt;'1.IS'!I10,1,0)</f>
        <v>0</v>
      </c>
      <c r="K73" s="215">
        <f>IF('1.IS'!K10&lt;'1.IS'!J10,1,0)</f>
        <v>0</v>
      </c>
      <c r="L73" s="246">
        <f>SUM(B73:K73)</f>
        <v>2</v>
      </c>
    </row>
    <row r="74" spans="1:12" x14ac:dyDescent="0.2">
      <c r="A74" s="171" t="s">
        <v>174</v>
      </c>
      <c r="B74" s="215">
        <f>IF('2.FCF'!B14&lt;0,1,0)</f>
        <v>1</v>
      </c>
      <c r="C74" s="215">
        <f>IF('2.FCF'!C14&lt;0,1,0)</f>
        <v>0</v>
      </c>
      <c r="D74" s="215">
        <f>IF('2.FCF'!D14&lt;0,1,0)</f>
        <v>0</v>
      </c>
      <c r="E74" s="215">
        <f>IF('2.FCF'!E14&lt;0,1,0)</f>
        <v>0</v>
      </c>
      <c r="F74" s="215">
        <f>IF('2.FCF'!F14&lt;0,1,0)</f>
        <v>0</v>
      </c>
      <c r="G74" s="215">
        <f>IF('2.FCF'!G14&lt;0,1,0)</f>
        <v>0</v>
      </c>
      <c r="H74" s="215">
        <f>IF('2.FCF'!H14&lt;0,1,0)</f>
        <v>1</v>
      </c>
      <c r="I74" s="215">
        <f>IF('2.FCF'!I14&lt;0,1,0)</f>
        <v>0</v>
      </c>
      <c r="J74" s="215">
        <f>IF('2.FCF'!J14&lt;0,1,0)</f>
        <v>0</v>
      </c>
      <c r="K74" s="215">
        <f>IF('2.FCF'!K14&lt;0,1,0)</f>
        <v>0</v>
      </c>
      <c r="L74" s="246">
        <f>SUM(B74:K74)</f>
        <v>2</v>
      </c>
    </row>
    <row r="75" spans="1:12" x14ac:dyDescent="0.2">
      <c r="A75" s="171" t="s">
        <v>176</v>
      </c>
      <c r="B75" s="215">
        <f>IF('3.ROIC'!B15&lt;10%,1,0)</f>
        <v>0</v>
      </c>
      <c r="C75" s="215">
        <f>IF('3.ROIC'!C15&lt;10%,1,0)</f>
        <v>0</v>
      </c>
      <c r="D75" s="215">
        <f>IF('3.ROIC'!D15&lt;10%,1,0)</f>
        <v>0</v>
      </c>
      <c r="E75" s="215">
        <f>IF('3.ROIC'!E15&lt;10%,1,0)</f>
        <v>0</v>
      </c>
      <c r="F75" s="215">
        <f>IF('3.ROIC'!F15&lt;10%,1,0)</f>
        <v>0</v>
      </c>
      <c r="G75" s="215">
        <f>IF('3.ROIC'!G15&lt;10%,1,0)</f>
        <v>0</v>
      </c>
      <c r="H75" s="215">
        <f>IF('3.ROIC'!H15&lt;10%,1,0)</f>
        <v>0</v>
      </c>
      <c r="I75" s="215">
        <f>IF('3.ROIC'!I15&lt;10%,1,0)</f>
        <v>0</v>
      </c>
      <c r="J75" s="215">
        <f>IF('3.ROIC'!J15&lt;10%,1,0)</f>
        <v>0</v>
      </c>
      <c r="K75" s="215">
        <f>IF('3.ROIC'!K15&lt;10%,1,0)</f>
        <v>0</v>
      </c>
      <c r="L75" s="246">
        <f>SUM(B75:K75)</f>
        <v>0</v>
      </c>
    </row>
    <row r="76" spans="1:12" x14ac:dyDescent="0.2">
      <c r="A76" s="171" t="s">
        <v>178</v>
      </c>
      <c r="B76" s="215">
        <f>IF('4.Valoración'!B5&lt;&gt;"",IF('4.Valoración'!B5&gt;2.5,1,0),0)</f>
        <v>0</v>
      </c>
      <c r="C76" s="215">
        <f>IF('4.Valoración'!C5&lt;&gt;"",IF('4.Valoración'!C5&gt;2.5,1,0),0)</f>
        <v>0</v>
      </c>
      <c r="D76" s="215">
        <f>IF('4.Valoración'!D5&lt;&gt;"",IF('4.Valoración'!D5&gt;2.5,1,0),0)</f>
        <v>0</v>
      </c>
      <c r="E76" s="215">
        <f>IF('4.Valoración'!E5&lt;&gt;"",IF('4.Valoración'!E5&gt;2.5,1,0),0)</f>
        <v>0</v>
      </c>
      <c r="F76" s="215">
        <f>IF('4.Valoración'!F5&lt;&gt;"",IF('4.Valoración'!F5&gt;2.5,1,0),0)</f>
        <v>0</v>
      </c>
      <c r="G76" s="215">
        <f>IF('4.Valoración'!G5&lt;&gt;"",IF('4.Valoración'!G5&gt;2.5,1,0),0)</f>
        <v>0</v>
      </c>
      <c r="H76" s="215">
        <f>IF('4.Valoración'!H5&lt;&gt;"",IF('4.Valoración'!H5&gt;2.5,1,0),0)</f>
        <v>0</v>
      </c>
      <c r="I76" s="215">
        <f>IF('4.Valoración'!I5&lt;&gt;"",IF('4.Valoración'!I5&gt;2.5,1,0),0)</f>
        <v>0</v>
      </c>
      <c r="J76" s="215">
        <f>IF('4.Valoración'!J5&lt;&gt;"",IF('4.Valoración'!J5&gt;2.5,1,0),0)</f>
        <v>0</v>
      </c>
      <c r="K76" s="215">
        <f>IF('4.Valoración'!K5&lt;&gt;"",IF('4.Valoración'!K5&gt;2.5,1,0),0)</f>
        <v>0</v>
      </c>
      <c r="L76" s="246">
        <f>SUM(B76:K76)</f>
        <v>0</v>
      </c>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Instrucciones</vt:lpstr>
      <vt:lpstr>1.IS</vt:lpstr>
      <vt:lpstr>2.FCF</vt:lpstr>
      <vt:lpstr>3.ROIC</vt:lpstr>
      <vt:lpstr>4.Valoración</vt:lpstr>
      <vt:lpstr>5.Red Flags</vt:lpstr>
      <vt:lpstr>6.Gráficos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2026-04-16T22:30:09Z</dcterms:modified>
</cp:coreProperties>
</file>
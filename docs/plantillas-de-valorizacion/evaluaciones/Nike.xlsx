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filterPrivacy="1"/>
  <xr:revisionPtr revIDLastSave="0" documentId="13_ncr:1_{89A48F4C-BDBF-0445-A68A-4E05493E8D94}" xr6:coauthVersionLast="47" xr6:coauthVersionMax="47" xr10:uidLastSave="{00000000-0000-0000-0000-000000000000}"/>
  <bookViews>
    <workbookView xWindow="25620" yWindow="640" windowWidth="25560" windowHeight="20920" tabRatio="636" activeTab="1" xr2:uid="{00000000-000D-0000-FFFF-FFFF00000000}"/>
  </bookViews>
  <sheets>
    <sheet name="Instrucciones" sheetId="13" r:id="rId1"/>
    <sheet name="1.IS" sheetId="1" r:id="rId2"/>
    <sheet name="2.FCF" sheetId="2" r:id="rId3"/>
    <sheet name="3.ROIC" sheetId="3" r:id="rId4"/>
    <sheet name="4.Valoración" sheetId="5" r:id="rId5"/>
    <sheet name="5.Red Flags" sheetId="14" r:id="rId6"/>
    <sheet name="6.Gráficos" sheetId="7" r:id="rId7"/>
    <sheet name="7.TIKR_IS" sheetId="8" r:id="rId8"/>
    <sheet name="8.TIKR_BS" sheetId="10" r:id="rId9"/>
    <sheet name="9.TIKR_CF" sheetId="11" r:id="rId10"/>
    <sheet name="10.Glosario" sheetId="6" r:id="rId11"/>
    <sheet name="TIKR_Cálculos" sheetId="12" state="hidden" r:id="rId1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7" l="1"/>
  <c r="A1" i="14"/>
  <c r="A1" i="5"/>
  <c r="A1" i="3"/>
  <c r="A1" i="2"/>
  <c r="C2" i="1"/>
  <c r="D2" i="1" s="1"/>
  <c r="E2" i="1" s="1"/>
  <c r="F2" i="1" s="1"/>
  <c r="G2" i="1" s="1"/>
  <c r="H2" i="1" s="1"/>
  <c r="I2" i="1" s="1"/>
  <c r="J2" i="1" s="1"/>
  <c r="K2" i="1" s="1"/>
  <c r="B29" i="12" s="1"/>
  <c r="C14" i="1" l="1"/>
  <c r="C15" i="1" s="1"/>
  <c r="C5" i="1"/>
  <c r="C6" i="1" s="1"/>
  <c r="C10" i="1"/>
  <c r="L2" i="1"/>
  <c r="C18" i="1" l="1"/>
  <c r="C20" i="1" s="1"/>
  <c r="C17" i="1"/>
  <c r="M2" i="1"/>
  <c r="C29" i="12"/>
  <c r="C2" i="14"/>
  <c r="B71" i="12"/>
  <c r="J71" i="12"/>
  <c r="K71" i="12"/>
  <c r="I71" i="12"/>
  <c r="H71" i="12"/>
  <c r="G71" i="12"/>
  <c r="F71" i="12"/>
  <c r="E71" i="12"/>
  <c r="D71" i="12"/>
  <c r="K44" i="12"/>
  <c r="J44" i="12"/>
  <c r="I44" i="12"/>
  <c r="H44" i="12"/>
  <c r="G44" i="12"/>
  <c r="F44" i="12"/>
  <c r="E44" i="12"/>
  <c r="D44" i="12"/>
  <c r="C44" i="12"/>
  <c r="B44" i="12"/>
  <c r="B15" i="12"/>
  <c r="K42" i="12"/>
  <c r="J42" i="12"/>
  <c r="I42" i="12"/>
  <c r="H42" i="12"/>
  <c r="G42" i="12"/>
  <c r="F42" i="12"/>
  <c r="E42" i="12"/>
  <c r="D42" i="12"/>
  <c r="C42" i="12"/>
  <c r="K41" i="12"/>
  <c r="J41" i="12"/>
  <c r="I41" i="12"/>
  <c r="H41" i="12"/>
  <c r="G41" i="12"/>
  <c r="F41" i="12"/>
  <c r="E41" i="12"/>
  <c r="D41" i="12"/>
  <c r="C41" i="12"/>
  <c r="B42" i="12"/>
  <c r="B41" i="12"/>
  <c r="B36" i="12"/>
  <c r="B35" i="12"/>
  <c r="K19" i="2"/>
  <c r="J19" i="2"/>
  <c r="I19" i="2"/>
  <c r="H19" i="2"/>
  <c r="G19" i="2"/>
  <c r="F19" i="2"/>
  <c r="E19" i="2"/>
  <c r="D19" i="2"/>
  <c r="C19" i="2"/>
  <c r="B19" i="2"/>
  <c r="K11" i="12"/>
  <c r="K43" i="12" s="1"/>
  <c r="J11" i="12"/>
  <c r="J43" i="12" s="1"/>
  <c r="I11" i="12"/>
  <c r="I43" i="12" s="1"/>
  <c r="H11" i="12"/>
  <c r="H43" i="12" s="1"/>
  <c r="G11" i="12"/>
  <c r="G43" i="12" s="1"/>
  <c r="F11" i="12"/>
  <c r="F43" i="12" s="1"/>
  <c r="E11" i="12"/>
  <c r="E43" i="12" s="1"/>
  <c r="D11" i="12"/>
  <c r="D43" i="12" s="1"/>
  <c r="C11" i="12"/>
  <c r="C43" i="12" s="1"/>
  <c r="B11" i="12"/>
  <c r="B43" i="12" s="1"/>
  <c r="K6" i="12"/>
  <c r="J6" i="12"/>
  <c r="I6" i="12"/>
  <c r="H6" i="12"/>
  <c r="G6" i="12"/>
  <c r="F6" i="12"/>
  <c r="E6" i="12"/>
  <c r="D6" i="12"/>
  <c r="C6" i="12"/>
  <c r="B6"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K13" i="2"/>
  <c r="J13" i="2"/>
  <c r="I13" i="2"/>
  <c r="H13" i="2"/>
  <c r="G13" i="2"/>
  <c r="F13" i="2"/>
  <c r="E13" i="2"/>
  <c r="D13" i="2"/>
  <c r="C13" i="2"/>
  <c r="H6" i="2"/>
  <c r="G6" i="2"/>
  <c r="F6" i="2"/>
  <c r="E6" i="2"/>
  <c r="D6" i="2"/>
  <c r="C6" i="2"/>
  <c r="C26" i="1"/>
  <c r="C11" i="1"/>
  <c r="C23" i="1" l="1"/>
  <c r="C21" i="1"/>
  <c r="G11" i="2"/>
  <c r="F11" i="2"/>
  <c r="G23" i="2"/>
  <c r="F23" i="2"/>
  <c r="C4" i="1"/>
  <c r="G12" i="2"/>
  <c r="G69" i="12" s="1"/>
  <c r="H11" i="2"/>
  <c r="G11" i="3"/>
  <c r="G45" i="12"/>
  <c r="I11" i="3"/>
  <c r="I11" i="2"/>
  <c r="I23" i="2" s="1"/>
  <c r="B11" i="2"/>
  <c r="B23" i="2" s="1"/>
  <c r="D11" i="2"/>
  <c r="D23" i="2" s="1"/>
  <c r="C11" i="2"/>
  <c r="C23" i="2" s="1"/>
  <c r="E11" i="2"/>
  <c r="E23" i="2" s="1"/>
  <c r="J11" i="2"/>
  <c r="K11" i="2"/>
  <c r="K23" i="2" s="1"/>
  <c r="D11" i="1"/>
  <c r="K11" i="1"/>
  <c r="G11" i="1"/>
  <c r="J11" i="1"/>
  <c r="E11" i="1"/>
  <c r="F11" i="1"/>
  <c r="H11" i="1"/>
  <c r="I11" i="1"/>
  <c r="I7" i="14"/>
  <c r="I5" i="14"/>
  <c r="I6" i="14"/>
  <c r="I4" i="14"/>
  <c r="F6" i="14"/>
  <c r="F4" i="14"/>
  <c r="F7" i="14"/>
  <c r="F5" i="14"/>
  <c r="H4" i="14"/>
  <c r="H7" i="14"/>
  <c r="H5" i="14"/>
  <c r="H6" i="14"/>
  <c r="J7" i="14"/>
  <c r="J5" i="14"/>
  <c r="J6" i="14"/>
  <c r="J4" i="14"/>
  <c r="C5" i="14"/>
  <c r="C4" i="14"/>
  <c r="C6" i="14"/>
  <c r="C7" i="14"/>
  <c r="D5" i="14"/>
  <c r="D6" i="14"/>
  <c r="D4" i="14"/>
  <c r="D7" i="14"/>
  <c r="K7" i="14"/>
  <c r="K5" i="14"/>
  <c r="K6" i="14"/>
  <c r="K4" i="14"/>
  <c r="E6" i="14"/>
  <c r="E5" i="14"/>
  <c r="E4" i="14"/>
  <c r="E7" i="14"/>
  <c r="B5" i="14"/>
  <c r="B6" i="14"/>
  <c r="B4" i="14"/>
  <c r="B7" i="14"/>
  <c r="G4" i="14"/>
  <c r="G6" i="14"/>
  <c r="G7" i="14"/>
  <c r="G5" i="14"/>
  <c r="K8" i="5"/>
  <c r="I8" i="5"/>
  <c r="J8" i="5"/>
  <c r="N2" i="1"/>
  <c r="D29" i="12"/>
  <c r="B45" i="12"/>
  <c r="B33" i="12"/>
  <c r="B32" i="12"/>
  <c r="H2" i="14"/>
  <c r="J2" i="14"/>
  <c r="K2" i="14"/>
  <c r="B2" i="14"/>
  <c r="D2" i="14"/>
  <c r="E2" i="14"/>
  <c r="F2" i="14"/>
  <c r="G2" i="14"/>
  <c r="I2" i="14"/>
  <c r="B18" i="12"/>
  <c r="B19" i="12" s="1"/>
  <c r="C71" i="12"/>
  <c r="E14" i="1"/>
  <c r="E5" i="2" s="1"/>
  <c r="K68" i="12"/>
  <c r="J14" i="1"/>
  <c r="J67" i="12" s="1"/>
  <c r="B68" i="12"/>
  <c r="J68" i="12"/>
  <c r="I68" i="12"/>
  <c r="C68" i="12"/>
  <c r="D68" i="12"/>
  <c r="E68" i="12"/>
  <c r="F68" i="12"/>
  <c r="G68" i="12"/>
  <c r="H68" i="12"/>
  <c r="B48" i="12"/>
  <c r="I6" i="2"/>
  <c r="J6" i="2"/>
  <c r="K6" i="2"/>
  <c r="B25" i="12"/>
  <c r="B24" i="12"/>
  <c r="B22" i="12"/>
  <c r="B27" i="12" s="1"/>
  <c r="I10" i="1"/>
  <c r="H10" i="1"/>
  <c r="I14" i="1"/>
  <c r="I67" i="12" s="1"/>
  <c r="I26" i="1"/>
  <c r="K26" i="1"/>
  <c r="K4" i="1"/>
  <c r="D10" i="1"/>
  <c r="K14" i="1"/>
  <c r="K67" i="12" s="1"/>
  <c r="K3" i="5"/>
  <c r="L41" i="12"/>
  <c r="J5" i="12"/>
  <c r="J7" i="12" s="1"/>
  <c r="J22" i="2" s="1"/>
  <c r="J66" i="12" s="1"/>
  <c r="K5" i="12"/>
  <c r="K7" i="12" s="1"/>
  <c r="L42" i="12"/>
  <c r="L43" i="12"/>
  <c r="I5" i="12"/>
  <c r="I7" i="12" s="1"/>
  <c r="I22" i="2" s="1"/>
  <c r="I66" i="12" s="1"/>
  <c r="L44" i="12"/>
  <c r="F10" i="1"/>
  <c r="E10" i="1"/>
  <c r="J10" i="1"/>
  <c r="I5" i="1"/>
  <c r="G14" i="1"/>
  <c r="G67" i="12" s="1"/>
  <c r="I4" i="1"/>
  <c r="J4" i="1"/>
  <c r="J26" i="1"/>
  <c r="G10" i="1"/>
  <c r="K10" i="1"/>
  <c r="F14" i="1"/>
  <c r="J5" i="1"/>
  <c r="H14" i="1"/>
  <c r="H67" i="12" s="1"/>
  <c r="D14" i="1"/>
  <c r="D67" i="12" s="1"/>
  <c r="K5" i="1"/>
  <c r="B39" i="12"/>
  <c r="E45" i="12" l="1"/>
  <c r="E11" i="3"/>
  <c r="F45" i="12"/>
  <c r="F11" i="3"/>
  <c r="I12" i="2"/>
  <c r="I69" i="12" s="1"/>
  <c r="D12" i="2"/>
  <c r="D69" i="12" s="1"/>
  <c r="H12" i="2"/>
  <c r="H69" i="12" s="1"/>
  <c r="H23" i="2"/>
  <c r="J45" i="12"/>
  <c r="J4" i="5"/>
  <c r="J5" i="5" s="1"/>
  <c r="J76" i="12" s="1"/>
  <c r="J11" i="3"/>
  <c r="C45" i="12"/>
  <c r="C11" i="3"/>
  <c r="D45" i="12"/>
  <c r="D11" i="3"/>
  <c r="H45" i="12"/>
  <c r="H4" i="5"/>
  <c r="H11" i="3"/>
  <c r="I45" i="12"/>
  <c r="I4" i="5"/>
  <c r="I5" i="5" s="1"/>
  <c r="I76" i="12" s="1"/>
  <c r="J12" i="2"/>
  <c r="J69" i="12" s="1"/>
  <c r="J23" i="2"/>
  <c r="K12" i="2"/>
  <c r="K69" i="12" s="1"/>
  <c r="E12" i="2"/>
  <c r="E69" i="12" s="1"/>
  <c r="C12" i="2"/>
  <c r="C69" i="12" s="1"/>
  <c r="K45" i="12"/>
  <c r="F12" i="2"/>
  <c r="F69" i="12" s="1"/>
  <c r="K7" i="1"/>
  <c r="B31" i="12"/>
  <c r="I7" i="5"/>
  <c r="J7" i="5"/>
  <c r="J7" i="1"/>
  <c r="B21" i="12"/>
  <c r="B26" i="12" s="1"/>
  <c r="K11" i="3"/>
  <c r="K4" i="5"/>
  <c r="B30" i="12" s="1"/>
  <c r="O2" i="1"/>
  <c r="E29" i="12"/>
  <c r="B20" i="12"/>
  <c r="K7" i="5"/>
  <c r="G73" i="12"/>
  <c r="E73" i="12"/>
  <c r="H49" i="12"/>
  <c r="I72" i="12"/>
  <c r="F73" i="12"/>
  <c r="H73" i="12"/>
  <c r="I56" i="12"/>
  <c r="I73" i="12"/>
  <c r="K56" i="12"/>
  <c r="K73" i="12"/>
  <c r="I49" i="12"/>
  <c r="J72" i="12"/>
  <c r="D73" i="12"/>
  <c r="J49" i="12"/>
  <c r="K72" i="12"/>
  <c r="J56" i="12"/>
  <c r="J73" i="12"/>
  <c r="E67" i="12"/>
  <c r="E15" i="1"/>
  <c r="E18" i="1" s="1"/>
  <c r="E20" i="1" s="1"/>
  <c r="J15" i="1"/>
  <c r="J18" i="1" s="1"/>
  <c r="J20" i="1" s="1"/>
  <c r="J5" i="2"/>
  <c r="I15" i="1"/>
  <c r="I18" i="1" s="1"/>
  <c r="I20" i="1" s="1"/>
  <c r="C5" i="2"/>
  <c r="C67" i="12"/>
  <c r="F5" i="2"/>
  <c r="F67" i="12"/>
  <c r="K65" i="12"/>
  <c r="I65" i="12"/>
  <c r="J65" i="12"/>
  <c r="I5" i="2"/>
  <c r="C48" i="12"/>
  <c r="K22" i="2"/>
  <c r="K66" i="12" s="1"/>
  <c r="C3" i="3"/>
  <c r="F15" i="1"/>
  <c r="F18" i="1" s="1"/>
  <c r="F20" i="1" s="1"/>
  <c r="G15" i="1"/>
  <c r="G5" i="2"/>
  <c r="K15" i="1"/>
  <c r="K5" i="2"/>
  <c r="D15" i="1"/>
  <c r="D18" i="1" s="1"/>
  <c r="D20" i="1" s="1"/>
  <c r="D5" i="2"/>
  <c r="H15" i="1"/>
  <c r="H5" i="2"/>
  <c r="J3" i="2"/>
  <c r="J6" i="1"/>
  <c r="J55" i="12" s="1"/>
  <c r="K3" i="2"/>
  <c r="I3" i="2"/>
  <c r="K10" i="12"/>
  <c r="I10" i="12"/>
  <c r="J10" i="12"/>
  <c r="I6" i="1"/>
  <c r="I55" i="12" s="1"/>
  <c r="K6" i="1"/>
  <c r="K55" i="12" s="1"/>
  <c r="B34" i="12" l="1"/>
  <c r="F21" i="1"/>
  <c r="F22" i="1"/>
  <c r="I21" i="1"/>
  <c r="E23" i="1"/>
  <c r="E22" i="1"/>
  <c r="J9" i="5"/>
  <c r="J22" i="1"/>
  <c r="D21" i="1"/>
  <c r="K5" i="5"/>
  <c r="K76" i="12" s="1"/>
  <c r="P2" i="1"/>
  <c r="G29" i="12" s="1"/>
  <c r="F29" i="12"/>
  <c r="E21" i="1"/>
  <c r="E17" i="1"/>
  <c r="E3" i="3" s="1"/>
  <c r="J14" i="3"/>
  <c r="I9" i="5"/>
  <c r="J23" i="1"/>
  <c r="I14" i="2"/>
  <c r="J21" i="1"/>
  <c r="J14" i="2"/>
  <c r="J17" i="1"/>
  <c r="J3" i="3" s="1"/>
  <c r="I23" i="1"/>
  <c r="I14" i="3"/>
  <c r="I17" i="1"/>
  <c r="I3" i="3" s="1"/>
  <c r="D48" i="12"/>
  <c r="D23" i="1"/>
  <c r="D22" i="1"/>
  <c r="K14" i="2"/>
  <c r="F23" i="1"/>
  <c r="F17" i="1"/>
  <c r="F3" i="3" s="1"/>
  <c r="I12" i="12"/>
  <c r="I40" i="12"/>
  <c r="K12" i="12"/>
  <c r="K40" i="12"/>
  <c r="J12" i="12"/>
  <c r="J40" i="12"/>
  <c r="G17" i="1"/>
  <c r="G3" i="3" s="1"/>
  <c r="G18" i="1"/>
  <c r="G20" i="1" s="1"/>
  <c r="G22" i="1" s="1"/>
  <c r="H17" i="1"/>
  <c r="H3" i="3" s="1"/>
  <c r="H18" i="1"/>
  <c r="H20" i="1" s="1"/>
  <c r="K18" i="1"/>
  <c r="K17" i="1"/>
  <c r="K3" i="3" s="1"/>
  <c r="D17" i="1"/>
  <c r="D3" i="3" s="1"/>
  <c r="C39" i="12"/>
  <c r="F24" i="1" l="1"/>
  <c r="H22" i="1"/>
  <c r="E24" i="1"/>
  <c r="I22" i="1"/>
  <c r="J16" i="3"/>
  <c r="J28" i="2"/>
  <c r="J32" i="2"/>
  <c r="J31" i="2"/>
  <c r="J29" i="2"/>
  <c r="J30" i="2"/>
  <c r="K32" i="2"/>
  <c r="K29" i="2"/>
  <c r="K28" i="2"/>
  <c r="K31" i="2"/>
  <c r="K30" i="2"/>
  <c r="I16" i="3"/>
  <c r="I31" i="2"/>
  <c r="I28" i="2"/>
  <c r="I32" i="2"/>
  <c r="I29" i="2"/>
  <c r="I30" i="2"/>
  <c r="K74" i="12"/>
  <c r="K16" i="3"/>
  <c r="J61" i="12"/>
  <c r="J74" i="12"/>
  <c r="I61" i="12"/>
  <c r="I74" i="12"/>
  <c r="K61" i="12"/>
  <c r="J24" i="1"/>
  <c r="I50" i="12" s="1"/>
  <c r="J10" i="5"/>
  <c r="J25" i="2"/>
  <c r="J16" i="2"/>
  <c r="I51" i="12" s="1"/>
  <c r="J24" i="2"/>
  <c r="I25" i="2"/>
  <c r="I10" i="5"/>
  <c r="J17" i="2"/>
  <c r="I15" i="2"/>
  <c r="I57" i="12" s="1"/>
  <c r="I17" i="2"/>
  <c r="I24" i="2"/>
  <c r="J15" i="2"/>
  <c r="J57" i="12" s="1"/>
  <c r="E48" i="12"/>
  <c r="K10" i="5"/>
  <c r="K20" i="1"/>
  <c r="D24" i="1"/>
  <c r="K16" i="2"/>
  <c r="J51" i="12" s="1"/>
  <c r="K24" i="2"/>
  <c r="K17" i="2"/>
  <c r="K15" i="2"/>
  <c r="K57" i="12" s="1"/>
  <c r="K25" i="2"/>
  <c r="H23" i="1"/>
  <c r="H21" i="1"/>
  <c r="G21" i="1"/>
  <c r="G23" i="1"/>
  <c r="G24" i="1" s="1"/>
  <c r="D39" i="12"/>
  <c r="F15" i="12"/>
  <c r="E15" i="12"/>
  <c r="D15" i="12"/>
  <c r="C15" i="12"/>
  <c r="B13" i="2"/>
  <c r="J18" i="2" l="1"/>
  <c r="K18" i="2"/>
  <c r="K9" i="5"/>
  <c r="K22" i="1"/>
  <c r="J33" i="2"/>
  <c r="I33" i="2"/>
  <c r="K23" i="1"/>
  <c r="K24" i="1" s="1"/>
  <c r="J50" i="12" s="1"/>
  <c r="K21" i="1"/>
  <c r="K14" i="3"/>
  <c r="B15" i="5"/>
  <c r="F48" i="12"/>
  <c r="K33" i="2"/>
  <c r="I24" i="1"/>
  <c r="H50" i="12" s="1"/>
  <c r="H24" i="1"/>
  <c r="E39" i="12"/>
  <c r="B14" i="1"/>
  <c r="B67" i="12" s="1"/>
  <c r="B54" i="12"/>
  <c r="B64" i="12"/>
  <c r="B60" i="12"/>
  <c r="B27" i="2"/>
  <c r="H5" i="1"/>
  <c r="E4" i="5"/>
  <c r="F4" i="5"/>
  <c r="E5" i="1"/>
  <c r="B5" i="1"/>
  <c r="D5" i="1"/>
  <c r="F5" i="1"/>
  <c r="G5" i="1"/>
  <c r="C4" i="5"/>
  <c r="D4" i="5"/>
  <c r="G4" i="5"/>
  <c r="B2" i="5"/>
  <c r="B9" i="12"/>
  <c r="F5" i="12"/>
  <c r="C5" i="12"/>
  <c r="D5" i="12"/>
  <c r="E5" i="12"/>
  <c r="G5" i="12"/>
  <c r="H5" i="12"/>
  <c r="B5" i="12"/>
  <c r="B1" i="12"/>
  <c r="H26" i="1"/>
  <c r="K20" i="5"/>
  <c r="H20" i="5"/>
  <c r="B65" i="12" l="1"/>
  <c r="C7" i="1"/>
  <c r="E65" i="12"/>
  <c r="E7" i="1"/>
  <c r="C65" i="12"/>
  <c r="H65" i="12"/>
  <c r="H7" i="1"/>
  <c r="I7" i="1"/>
  <c r="G65" i="12"/>
  <c r="G7" i="1"/>
  <c r="F65" i="12"/>
  <c r="F7" i="1"/>
  <c r="D65" i="12"/>
  <c r="D7" i="1"/>
  <c r="G48" i="12"/>
  <c r="C3" i="2"/>
  <c r="G3" i="2"/>
  <c r="F3" i="2"/>
  <c r="D3" i="2"/>
  <c r="E3" i="2"/>
  <c r="H3" i="2"/>
  <c r="H5" i="5"/>
  <c r="H76" i="12" s="1"/>
  <c r="F39" i="12"/>
  <c r="B23" i="12"/>
  <c r="B4" i="5"/>
  <c r="B15" i="1"/>
  <c r="B18" i="1" s="1"/>
  <c r="B20" i="1" s="1"/>
  <c r="C22" i="1" s="1"/>
  <c r="F7" i="12"/>
  <c r="E7" i="12"/>
  <c r="B7" i="12"/>
  <c r="H7" i="12"/>
  <c r="G7" i="12"/>
  <c r="D7" i="12"/>
  <c r="C7" i="12"/>
  <c r="F14" i="3"/>
  <c r="E14" i="3"/>
  <c r="C14" i="3"/>
  <c r="H14" i="3"/>
  <c r="D14" i="3"/>
  <c r="G14" i="3"/>
  <c r="B11" i="3"/>
  <c r="B13" i="3"/>
  <c r="B14" i="3" l="1"/>
  <c r="Q14" i="3" s="1"/>
  <c r="C14" i="2"/>
  <c r="F14" i="2"/>
  <c r="E14" i="2"/>
  <c r="I9" i="12"/>
  <c r="I60" i="12"/>
  <c r="I54" i="12"/>
  <c r="H48" i="12"/>
  <c r="I64" i="12"/>
  <c r="I13" i="3"/>
  <c r="I2" i="3"/>
  <c r="I27" i="2"/>
  <c r="I2" i="5"/>
  <c r="I1" i="12"/>
  <c r="I39" i="12"/>
  <c r="I2" i="2"/>
  <c r="I21" i="2"/>
  <c r="D14" i="2"/>
  <c r="G14" i="2"/>
  <c r="H14" i="2"/>
  <c r="G39" i="12"/>
  <c r="C22" i="2"/>
  <c r="C66" i="12" s="1"/>
  <c r="D22" i="2"/>
  <c r="D66" i="12" s="1"/>
  <c r="G22" i="2"/>
  <c r="G66" i="12" s="1"/>
  <c r="H22" i="2"/>
  <c r="H66" i="12" s="1"/>
  <c r="B22" i="2"/>
  <c r="E22" i="2"/>
  <c r="E66" i="12" s="1"/>
  <c r="F22" i="2"/>
  <c r="F66" i="12" s="1"/>
  <c r="G10" i="12"/>
  <c r="E10" i="12"/>
  <c r="D10" i="12"/>
  <c r="H10" i="12"/>
  <c r="B10" i="12"/>
  <c r="C10" i="12"/>
  <c r="F10" i="12"/>
  <c r="H29" i="2" l="1"/>
  <c r="H31" i="2"/>
  <c r="H32" i="2"/>
  <c r="H30" i="2"/>
  <c r="D29" i="2"/>
  <c r="D30" i="2"/>
  <c r="D31" i="2"/>
  <c r="D32" i="2"/>
  <c r="E29" i="2"/>
  <c r="E30" i="2"/>
  <c r="E31" i="2"/>
  <c r="E32" i="2"/>
  <c r="G30" i="2"/>
  <c r="G29" i="2"/>
  <c r="G31" i="2"/>
  <c r="G32" i="2"/>
  <c r="F30" i="2"/>
  <c r="F29" i="2"/>
  <c r="F31" i="2"/>
  <c r="F32" i="2"/>
  <c r="C30" i="2"/>
  <c r="C32" i="2"/>
  <c r="C29" i="2"/>
  <c r="C31" i="2"/>
  <c r="H74" i="12"/>
  <c r="D74" i="12"/>
  <c r="E74" i="12"/>
  <c r="F74" i="12"/>
  <c r="C74" i="12"/>
  <c r="G74" i="12"/>
  <c r="C17" i="2"/>
  <c r="C15" i="2"/>
  <c r="F15" i="2"/>
  <c r="E15" i="2"/>
  <c r="F16" i="2"/>
  <c r="F17" i="2"/>
  <c r="E17" i="2"/>
  <c r="B66" i="12"/>
  <c r="Q22" i="2"/>
  <c r="J60" i="12"/>
  <c r="I48" i="12"/>
  <c r="J54" i="12"/>
  <c r="J64" i="12"/>
  <c r="J9" i="12"/>
  <c r="J13" i="3"/>
  <c r="J27" i="2"/>
  <c r="J39" i="12"/>
  <c r="J2" i="2"/>
  <c r="J2" i="3"/>
  <c r="J21" i="2"/>
  <c r="J2" i="5"/>
  <c r="J1" i="12"/>
  <c r="H12" i="12"/>
  <c r="H16" i="3" s="1"/>
  <c r="H40" i="12"/>
  <c r="H28" i="2" s="1"/>
  <c r="D12" i="12"/>
  <c r="D16" i="3" s="1"/>
  <c r="D40" i="12"/>
  <c r="D28" i="2" s="1"/>
  <c r="E12" i="12"/>
  <c r="E16" i="3" s="1"/>
  <c r="E40" i="12"/>
  <c r="E28" i="2" s="1"/>
  <c r="B12" i="12"/>
  <c r="B40" i="12"/>
  <c r="G12" i="12"/>
  <c r="G16" i="3" s="1"/>
  <c r="G40" i="12"/>
  <c r="G28" i="2" s="1"/>
  <c r="F12" i="12"/>
  <c r="F16" i="3" s="1"/>
  <c r="F40" i="12"/>
  <c r="F28" i="2" s="1"/>
  <c r="C12" i="12"/>
  <c r="C16" i="3" s="1"/>
  <c r="C40" i="12"/>
  <c r="C28" i="2" s="1"/>
  <c r="E16" i="2"/>
  <c r="D17" i="2"/>
  <c r="D15" i="2"/>
  <c r="D16" i="2"/>
  <c r="G15" i="2"/>
  <c r="G16" i="2"/>
  <c r="G17" i="2"/>
  <c r="H16" i="2"/>
  <c r="I16" i="2"/>
  <c r="H51" i="12" s="1"/>
  <c r="H17" i="2"/>
  <c r="H15" i="2"/>
  <c r="H39" i="12"/>
  <c r="B2" i="3"/>
  <c r="B21" i="2"/>
  <c r="B2" i="2"/>
  <c r="B5" i="5"/>
  <c r="B5" i="2"/>
  <c r="B6" i="2"/>
  <c r="C5" i="5"/>
  <c r="C76" i="12" s="1"/>
  <c r="D5" i="5"/>
  <c r="D76" i="12" s="1"/>
  <c r="E5" i="5"/>
  <c r="E76" i="12" s="1"/>
  <c r="F5" i="5"/>
  <c r="F76" i="12" s="1"/>
  <c r="G5" i="5"/>
  <c r="G76" i="12" s="1"/>
  <c r="D26" i="1"/>
  <c r="E26" i="1"/>
  <c r="F26" i="1"/>
  <c r="G26" i="1"/>
  <c r="H8" i="5"/>
  <c r="C72" i="12"/>
  <c r="D4" i="1"/>
  <c r="E4" i="1"/>
  <c r="F4" i="1"/>
  <c r="G4" i="1"/>
  <c r="H4" i="1"/>
  <c r="B17" i="1"/>
  <c r="G56" i="12"/>
  <c r="F56" i="12"/>
  <c r="E56" i="12"/>
  <c r="D56" i="12"/>
  <c r="H56" i="12"/>
  <c r="C56" i="12"/>
  <c r="B10" i="1"/>
  <c r="C73" i="12" s="1"/>
  <c r="L73" i="12" s="1"/>
  <c r="B12" i="14" s="1"/>
  <c r="G8" i="5"/>
  <c r="F8" i="5"/>
  <c r="E8" i="5"/>
  <c r="D8" i="5"/>
  <c r="C8" i="5"/>
  <c r="B8" i="5"/>
  <c r="L5" i="5" l="1"/>
  <c r="F18" i="2"/>
  <c r="D18" i="2"/>
  <c r="H18" i="2"/>
  <c r="I18" i="2"/>
  <c r="G18" i="2"/>
  <c r="E18" i="2"/>
  <c r="S5" i="1"/>
  <c r="L17" i="1" s="1"/>
  <c r="M17" i="1" s="1"/>
  <c r="N17" i="1" s="1"/>
  <c r="O17" i="1" s="1"/>
  <c r="P17" i="1" s="1"/>
  <c r="B3" i="3"/>
  <c r="B76" i="12"/>
  <c r="L76" i="12" s="1"/>
  <c r="B15" i="14" s="1"/>
  <c r="E49" i="12"/>
  <c r="F72" i="12"/>
  <c r="D49" i="12"/>
  <c r="E72" i="12"/>
  <c r="C49" i="12"/>
  <c r="D72" i="12"/>
  <c r="G49" i="12"/>
  <c r="H72" i="12"/>
  <c r="F49" i="12"/>
  <c r="G72" i="12"/>
  <c r="J48" i="12"/>
  <c r="K54" i="12"/>
  <c r="K64" i="12"/>
  <c r="K60" i="12"/>
  <c r="K21" i="2"/>
  <c r="B17" i="12"/>
  <c r="K2" i="2"/>
  <c r="L27" i="2" s="1"/>
  <c r="K2" i="5"/>
  <c r="K13" i="3"/>
  <c r="K39" i="12"/>
  <c r="S2" i="1"/>
  <c r="K1" i="12"/>
  <c r="K9" i="12"/>
  <c r="K27" i="2"/>
  <c r="K2" i="3"/>
  <c r="Q13" i="3" s="1"/>
  <c r="L40" i="12"/>
  <c r="B56" i="12"/>
  <c r="S4" i="1"/>
  <c r="L10" i="1" s="1"/>
  <c r="M10" i="1" s="1"/>
  <c r="N10" i="1" s="1"/>
  <c r="O10" i="1" s="1"/>
  <c r="P10" i="1" s="1"/>
  <c r="S6" i="1"/>
  <c r="L26" i="1" s="1"/>
  <c r="M26" i="1" s="1"/>
  <c r="N26" i="1" s="1"/>
  <c r="O26" i="1" s="1"/>
  <c r="P26" i="1" s="1"/>
  <c r="B49" i="12"/>
  <c r="S3" i="1"/>
  <c r="L4" i="1" s="1"/>
  <c r="M4" i="1" s="1"/>
  <c r="N4" i="1" s="1"/>
  <c r="O4" i="1" s="1"/>
  <c r="P4" i="1" s="1"/>
  <c r="C54" i="12"/>
  <c r="C64" i="12"/>
  <c r="C60" i="12"/>
  <c r="C27" i="2"/>
  <c r="C2" i="5"/>
  <c r="C9" i="12"/>
  <c r="C1" i="12"/>
  <c r="B3" i="2"/>
  <c r="B14" i="2" s="1"/>
  <c r="C13" i="3"/>
  <c r="F6" i="1"/>
  <c r="F55" i="12" s="1"/>
  <c r="B6" i="1"/>
  <c r="B55" i="12" s="1"/>
  <c r="B7" i="5"/>
  <c r="E6" i="1"/>
  <c r="E55" i="12" s="1"/>
  <c r="C7" i="5"/>
  <c r="C55" i="12"/>
  <c r="G7" i="5"/>
  <c r="E7" i="5"/>
  <c r="D6" i="1"/>
  <c r="D55" i="12" s="1"/>
  <c r="K6" i="5"/>
  <c r="H7" i="5"/>
  <c r="D7" i="5"/>
  <c r="H6" i="1"/>
  <c r="H55" i="12" s="1"/>
  <c r="F7" i="5"/>
  <c r="G6" i="1"/>
  <c r="G55" i="12" s="1"/>
  <c r="C21" i="2"/>
  <c r="C2" i="2"/>
  <c r="C2" i="3"/>
  <c r="Q21" i="2" l="1"/>
  <c r="L25" i="1"/>
  <c r="M25" i="1" s="1"/>
  <c r="N25" i="1" s="1"/>
  <c r="L9" i="3"/>
  <c r="L8" i="3"/>
  <c r="B16" i="3"/>
  <c r="B28" i="2"/>
  <c r="B30" i="2"/>
  <c r="L30" i="2" s="1"/>
  <c r="B31" i="2"/>
  <c r="L31" i="2" s="1"/>
  <c r="B32" i="2"/>
  <c r="L32" i="2" s="1"/>
  <c r="B29" i="2"/>
  <c r="L29" i="2" s="1"/>
  <c r="B74" i="12"/>
  <c r="L74" i="12" s="1"/>
  <c r="B13" i="14" s="1"/>
  <c r="L72" i="12"/>
  <c r="B11" i="14" s="1"/>
  <c r="B18" i="5"/>
  <c r="B17" i="5"/>
  <c r="B16" i="5"/>
  <c r="I15" i="3"/>
  <c r="J15" i="3"/>
  <c r="K15" i="3"/>
  <c r="C16" i="2"/>
  <c r="D54" i="12"/>
  <c r="D64" i="12"/>
  <c r="D60" i="12"/>
  <c r="D27" i="2"/>
  <c r="B61" i="12"/>
  <c r="M5" i="5"/>
  <c r="D2" i="5"/>
  <c r="D9" i="12"/>
  <c r="D1" i="12"/>
  <c r="E9" i="5"/>
  <c r="H9" i="5"/>
  <c r="D13" i="3"/>
  <c r="D21" i="2"/>
  <c r="D2" i="2"/>
  <c r="D2" i="3"/>
  <c r="F9" i="5"/>
  <c r="C9" i="5"/>
  <c r="O25" i="1" l="1"/>
  <c r="P25" i="1" s="1"/>
  <c r="L3" i="5"/>
  <c r="M3" i="5"/>
  <c r="M8" i="3"/>
  <c r="N8" i="3" s="1"/>
  <c r="O8" i="3" s="1"/>
  <c r="P8" i="3" s="1"/>
  <c r="M9" i="3"/>
  <c r="N9" i="3" s="1"/>
  <c r="O9" i="3" s="1"/>
  <c r="P9" i="3" s="1"/>
  <c r="L3" i="1"/>
  <c r="L9" i="1" s="1"/>
  <c r="L8" i="1"/>
  <c r="K62" i="12"/>
  <c r="K75" i="12"/>
  <c r="J62" i="12"/>
  <c r="J75" i="12"/>
  <c r="I62" i="12"/>
  <c r="I75" i="12"/>
  <c r="B33" i="2"/>
  <c r="E60" i="12"/>
  <c r="E54" i="12"/>
  <c r="E64" i="12"/>
  <c r="E27" i="2"/>
  <c r="N5" i="5"/>
  <c r="E2" i="5"/>
  <c r="E9" i="12"/>
  <c r="E1" i="12"/>
  <c r="B17" i="2"/>
  <c r="C18" i="2" s="1"/>
  <c r="B24" i="2"/>
  <c r="B25" i="2"/>
  <c r="B10" i="5"/>
  <c r="B15" i="2"/>
  <c r="B57" i="12" s="1"/>
  <c r="B9" i="5"/>
  <c r="G9" i="5"/>
  <c r="B23" i="1"/>
  <c r="C24" i="1" s="1"/>
  <c r="B21" i="1"/>
  <c r="G50" i="12"/>
  <c r="D9" i="5"/>
  <c r="C50" i="12"/>
  <c r="E13" i="3"/>
  <c r="E21" i="2"/>
  <c r="E2" i="2"/>
  <c r="E2" i="3"/>
  <c r="L22" i="2" l="1"/>
  <c r="L4" i="2" s="1"/>
  <c r="L12" i="2"/>
  <c r="M3" i="1"/>
  <c r="M9" i="1" s="1"/>
  <c r="L5" i="1"/>
  <c r="B50" i="12"/>
  <c r="F60" i="12"/>
  <c r="F64" i="12"/>
  <c r="F54" i="12"/>
  <c r="F27" i="2"/>
  <c r="O5" i="5"/>
  <c r="F2" i="5"/>
  <c r="F9" i="12"/>
  <c r="F21" i="2"/>
  <c r="F1" i="12"/>
  <c r="F50" i="12"/>
  <c r="D50" i="12"/>
  <c r="E50" i="12"/>
  <c r="F13" i="3"/>
  <c r="F2" i="2"/>
  <c r="F2" i="3"/>
  <c r="N3" i="5"/>
  <c r="L7" i="1" l="1"/>
  <c r="L4" i="5"/>
  <c r="M22" i="2"/>
  <c r="N22" i="2"/>
  <c r="O22" i="2"/>
  <c r="P22" i="2"/>
  <c r="L11" i="2"/>
  <c r="M12" i="2"/>
  <c r="L11" i="1"/>
  <c r="L3" i="3"/>
  <c r="L8" i="5"/>
  <c r="N3" i="1"/>
  <c r="N9" i="1" s="1"/>
  <c r="M3" i="3"/>
  <c r="M8" i="1"/>
  <c r="G60" i="12"/>
  <c r="G54" i="12"/>
  <c r="G64" i="12"/>
  <c r="G27" i="2"/>
  <c r="P5" i="5"/>
  <c r="L3" i="2"/>
  <c r="G2" i="5"/>
  <c r="G9" i="12"/>
  <c r="G2" i="2"/>
  <c r="G1" i="12"/>
  <c r="L6" i="1"/>
  <c r="L7" i="5"/>
  <c r="G21" i="2"/>
  <c r="G13" i="3"/>
  <c r="G2" i="3"/>
  <c r="P3" i="5"/>
  <c r="O3" i="5"/>
  <c r="C15" i="3"/>
  <c r="H15" i="3"/>
  <c r="D15" i="3"/>
  <c r="B15" i="3"/>
  <c r="B75" i="12" s="1"/>
  <c r="E15" i="3"/>
  <c r="G15" i="3"/>
  <c r="F15" i="3"/>
  <c r="N12" i="2" l="1"/>
  <c r="L19" i="2"/>
  <c r="C30" i="12"/>
  <c r="C31" i="12" s="1"/>
  <c r="C34" i="12" s="1"/>
  <c r="M11" i="2"/>
  <c r="M8" i="5"/>
  <c r="M11" i="1"/>
  <c r="O3" i="1"/>
  <c r="N8" i="1"/>
  <c r="O8" i="1" s="1"/>
  <c r="P8" i="1" s="1"/>
  <c r="M5" i="1"/>
  <c r="G62" i="12"/>
  <c r="G75" i="12"/>
  <c r="D62" i="12"/>
  <c r="D75" i="12"/>
  <c r="H62" i="12"/>
  <c r="H75" i="12"/>
  <c r="C62" i="12"/>
  <c r="C75" i="12"/>
  <c r="F62" i="12"/>
  <c r="F75" i="12"/>
  <c r="E62" i="12"/>
  <c r="E75" i="12"/>
  <c r="B62" i="12"/>
  <c r="Q15" i="3"/>
  <c r="H60" i="12"/>
  <c r="H64" i="12"/>
  <c r="H54" i="12"/>
  <c r="H27" i="2"/>
  <c r="H9" i="12"/>
  <c r="H1" i="12"/>
  <c r="H2" i="3"/>
  <c r="B14" i="12"/>
  <c r="H21" i="2"/>
  <c r="H2" i="2"/>
  <c r="H2" i="5"/>
  <c r="H13" i="3"/>
  <c r="N11" i="2" l="1"/>
  <c r="O12" i="2"/>
  <c r="O9" i="1"/>
  <c r="M7" i="5"/>
  <c r="M7" i="1"/>
  <c r="N11" i="1"/>
  <c r="N3" i="3"/>
  <c r="M6" i="1"/>
  <c r="M3" i="2"/>
  <c r="N8" i="5"/>
  <c r="N5" i="1"/>
  <c r="P3" i="1"/>
  <c r="M4" i="5"/>
  <c r="M19" i="2" s="1"/>
  <c r="L75" i="12"/>
  <c r="B14" i="14" s="1"/>
  <c r="L2" i="5"/>
  <c r="B20" i="5" s="1"/>
  <c r="L13" i="3"/>
  <c r="L2" i="3"/>
  <c r="C14" i="12"/>
  <c r="L2" i="2"/>
  <c r="L21" i="2"/>
  <c r="O11" i="2" l="1"/>
  <c r="C32" i="12"/>
  <c r="C33" i="12"/>
  <c r="C35" i="12"/>
  <c r="L6" i="3" s="1"/>
  <c r="C36" i="12"/>
  <c r="L7" i="3" s="1"/>
  <c r="P9" i="1"/>
  <c r="P3" i="3" s="1"/>
  <c r="P12" i="2"/>
  <c r="N6" i="1"/>
  <c r="N7" i="1"/>
  <c r="N4" i="5"/>
  <c r="N19" i="2" s="1"/>
  <c r="O11" i="1"/>
  <c r="O3" i="3"/>
  <c r="N3" i="2"/>
  <c r="N7" i="5"/>
  <c r="O5" i="1"/>
  <c r="O8" i="5"/>
  <c r="D30" i="12"/>
  <c r="D31" i="12" s="1"/>
  <c r="D14" i="12"/>
  <c r="M2" i="2"/>
  <c r="M13" i="3"/>
  <c r="M2" i="5"/>
  <c r="C20" i="5" s="1"/>
  <c r="M2" i="3"/>
  <c r="M21" i="2"/>
  <c r="P11" i="2" l="1"/>
  <c r="P8" i="5"/>
  <c r="P5" i="1"/>
  <c r="P11" i="1"/>
  <c r="L5" i="3"/>
  <c r="D33" i="12"/>
  <c r="E33" i="12" s="1"/>
  <c r="F33" i="12" s="1"/>
  <c r="G33" i="12" s="1"/>
  <c r="D34" i="12"/>
  <c r="E30" i="12"/>
  <c r="E31" i="12" s="1"/>
  <c r="O3" i="2"/>
  <c r="O7" i="1"/>
  <c r="O4" i="5"/>
  <c r="O19" i="2" s="1"/>
  <c r="O7" i="5"/>
  <c r="O6" i="1"/>
  <c r="N13" i="3"/>
  <c r="N21" i="2"/>
  <c r="N2" i="5"/>
  <c r="D20" i="5" s="1"/>
  <c r="E14" i="12"/>
  <c r="N2" i="3"/>
  <c r="N2" i="2"/>
  <c r="P4" i="5" l="1"/>
  <c r="P7" i="1"/>
  <c r="P7" i="5"/>
  <c r="P3" i="2"/>
  <c r="P6" i="1"/>
  <c r="M5" i="3"/>
  <c r="E34" i="12"/>
  <c r="F30" i="12"/>
  <c r="F31" i="12" s="1"/>
  <c r="N5" i="3"/>
  <c r="F14" i="12"/>
  <c r="O2" i="5"/>
  <c r="E20" i="5" s="1"/>
  <c r="O2" i="3"/>
  <c r="O13" i="3"/>
  <c r="O21" i="2"/>
  <c r="O2" i="2"/>
  <c r="G30" i="12" l="1"/>
  <c r="G31" i="12" s="1"/>
  <c r="P19" i="2"/>
  <c r="F34" i="12"/>
  <c r="O5" i="3"/>
  <c r="P2" i="2"/>
  <c r="P13" i="3"/>
  <c r="P2" i="5"/>
  <c r="F20" i="5" s="1"/>
  <c r="P21" i="2"/>
  <c r="P2" i="3"/>
  <c r="G34" i="12" l="1"/>
  <c r="P5" i="3"/>
  <c r="Q23" i="2" l="1"/>
  <c r="E61" i="12"/>
  <c r="G61" i="12"/>
  <c r="H61" i="12"/>
  <c r="D61" i="12"/>
  <c r="F61" i="12"/>
  <c r="G57" i="12"/>
  <c r="G10" i="5"/>
  <c r="G24" i="2"/>
  <c r="G33" i="2"/>
  <c r="G25" i="2"/>
  <c r="F33" i="2"/>
  <c r="C61" i="12"/>
  <c r="D33" i="2"/>
  <c r="E33" i="2"/>
  <c r="H33" i="2"/>
  <c r="C33" i="2"/>
  <c r="D24" i="2"/>
  <c r="D10" i="5"/>
  <c r="D57" i="12"/>
  <c r="D25" i="2"/>
  <c r="F51" i="12"/>
  <c r="C24" i="2"/>
  <c r="E25" i="2"/>
  <c r="E24" i="2"/>
  <c r="E57" i="12"/>
  <c r="D51" i="12"/>
  <c r="E10" i="5"/>
  <c r="H24" i="2"/>
  <c r="H57" i="12"/>
  <c r="H25" i="2"/>
  <c r="H10" i="5"/>
  <c r="G51" i="12"/>
  <c r="C25" i="2"/>
  <c r="C10" i="5"/>
  <c r="B51" i="12"/>
  <c r="C57" i="12"/>
  <c r="C51" i="12"/>
  <c r="F57" i="12"/>
  <c r="F25" i="2"/>
  <c r="E51" i="12"/>
  <c r="F24" i="2"/>
  <c r="F10" i="5"/>
  <c r="Q25" i="2" l="1"/>
  <c r="Q24" i="2"/>
  <c r="L28" i="2"/>
  <c r="Q16" i="3"/>
  <c r="L33" i="2" l="1"/>
  <c r="L23" i="2"/>
  <c r="M23" i="2" l="1"/>
  <c r="N23" i="2"/>
  <c r="O23" i="2" l="1"/>
  <c r="P23" i="2"/>
  <c r="L13" i="1"/>
  <c r="M13" i="1" l="1"/>
  <c r="L12" i="1"/>
  <c r="L14" i="1" s="1"/>
  <c r="L6" i="5"/>
  <c r="N13" i="1"/>
  <c r="C17" i="5" l="1"/>
  <c r="D17" i="5" s="1"/>
  <c r="C18" i="5"/>
  <c r="D18" i="5" s="1"/>
  <c r="L5" i="2"/>
  <c r="L15" i="1"/>
  <c r="L16" i="1" s="1"/>
  <c r="M6" i="5"/>
  <c r="O13" i="1"/>
  <c r="F24" i="5" l="1"/>
  <c r="B23" i="5"/>
  <c r="C23" i="5"/>
  <c r="D23" i="5"/>
  <c r="E23" i="5"/>
  <c r="F23" i="5"/>
  <c r="L18" i="1"/>
  <c r="L19" i="1" s="1"/>
  <c r="L6" i="2"/>
  <c r="N6" i="5"/>
  <c r="P13" i="1"/>
  <c r="B24" i="5" l="1"/>
  <c r="C24" i="5"/>
  <c r="E24" i="5"/>
  <c r="D24" i="5"/>
  <c r="L20" i="1"/>
  <c r="L22" i="1" s="1"/>
  <c r="P6" i="5"/>
  <c r="O6" i="5"/>
  <c r="L21" i="1" l="1"/>
  <c r="L23" i="1"/>
  <c r="L24" i="1" s="1"/>
  <c r="L9" i="5"/>
  <c r="L13" i="2"/>
  <c r="L14" i="2" s="1"/>
  <c r="K24" i="5"/>
  <c r="K23" i="5"/>
  <c r="L16" i="2" l="1"/>
  <c r="L10" i="3"/>
  <c r="C15" i="5"/>
  <c r="D15" i="5" s="1"/>
  <c r="D16" i="5" s="1"/>
  <c r="L17" i="2"/>
  <c r="L18" i="2" s="1"/>
  <c r="L24" i="2"/>
  <c r="L15" i="2"/>
  <c r="L25" i="2"/>
  <c r="L10" i="5"/>
  <c r="B21" i="5" l="1"/>
  <c r="L11" i="3"/>
  <c r="L15" i="3" s="1"/>
  <c r="L14" i="3"/>
  <c r="C16" i="5"/>
  <c r="B22" i="5" l="1"/>
  <c r="B25" i="5" l="1"/>
  <c r="B26" i="5"/>
  <c r="M4" i="2" l="1"/>
  <c r="N4" i="2" s="1"/>
  <c r="O4" i="2" l="1"/>
  <c r="P4" i="2" s="1"/>
  <c r="L4" i="3"/>
  <c r="D32" i="12"/>
  <c r="E32" i="12" s="1"/>
  <c r="D35" i="12" l="1"/>
  <c r="N4" i="3"/>
  <c r="F32" i="12"/>
  <c r="M4" i="3"/>
  <c r="D36" i="12" l="1"/>
  <c r="E36" i="12" s="1"/>
  <c r="O4" i="3"/>
  <c r="G32" i="12"/>
  <c r="E35" i="12"/>
  <c r="M6" i="3"/>
  <c r="M7" i="3" l="1"/>
  <c r="M12" i="1" s="1"/>
  <c r="M14" i="1" s="1"/>
  <c r="M15" i="1" s="1"/>
  <c r="F35" i="12"/>
  <c r="N6" i="3"/>
  <c r="P4" i="3"/>
  <c r="N7" i="3"/>
  <c r="F36" i="12"/>
  <c r="N12" i="1" l="1"/>
  <c r="N14" i="1" s="1"/>
  <c r="N5" i="2" s="1"/>
  <c r="M5" i="2"/>
  <c r="G36" i="12"/>
  <c r="P7" i="3" s="1"/>
  <c r="O7" i="3"/>
  <c r="G35" i="12"/>
  <c r="P6" i="3" s="1"/>
  <c r="O6" i="3"/>
  <c r="M16" i="1"/>
  <c r="M6" i="2" s="1"/>
  <c r="P12" i="1" l="1"/>
  <c r="P14" i="1" s="1"/>
  <c r="P15" i="1" s="1"/>
  <c r="O12" i="1"/>
  <c r="O14" i="1" s="1"/>
  <c r="O5" i="2" s="1"/>
  <c r="N15" i="1"/>
  <c r="N16" i="1" s="1"/>
  <c r="N6" i="2" s="1"/>
  <c r="M18" i="1"/>
  <c r="P5" i="2" l="1"/>
  <c r="O15" i="1"/>
  <c r="O16" i="1" s="1"/>
  <c r="O6" i="2" s="1"/>
  <c r="N18" i="1"/>
  <c r="M19" i="1"/>
  <c r="M20" i="1" s="1"/>
  <c r="P16" i="1"/>
  <c r="P6" i="2" s="1"/>
  <c r="O18" i="1" l="1"/>
  <c r="M22" i="1"/>
  <c r="M21" i="1"/>
  <c r="M23" i="1"/>
  <c r="M24" i="1" s="1"/>
  <c r="M9" i="5"/>
  <c r="C21" i="5" s="1"/>
  <c r="P18" i="1"/>
  <c r="M13" i="2"/>
  <c r="M14" i="2" s="1"/>
  <c r="M10" i="3" s="1"/>
  <c r="N19" i="1"/>
  <c r="M11" i="3" l="1"/>
  <c r="M15" i="3" s="1"/>
  <c r="M14" i="3"/>
  <c r="O19" i="1"/>
  <c r="N13" i="2"/>
  <c r="N14" i="2" s="1"/>
  <c r="N20" i="1"/>
  <c r="M15" i="2"/>
  <c r="M24" i="2"/>
  <c r="M16" i="2"/>
  <c r="M17" i="2"/>
  <c r="M18" i="2" s="1"/>
  <c r="M25" i="2"/>
  <c r="M10" i="5"/>
  <c r="C22" i="5" s="1"/>
  <c r="C25" i="5" l="1"/>
  <c r="C26" i="5"/>
  <c r="O13" i="2"/>
  <c r="O14" i="2" s="1"/>
  <c r="P19" i="1"/>
  <c r="O20" i="1"/>
  <c r="N22" i="1"/>
  <c r="N9" i="5"/>
  <c r="D21" i="5" s="1"/>
  <c r="N21" i="1"/>
  <c r="N23" i="1"/>
  <c r="N24" i="1" s="1"/>
  <c r="N17" i="2"/>
  <c r="N18" i="2" s="1"/>
  <c r="N24" i="2"/>
  <c r="N15" i="2"/>
  <c r="N10" i="5"/>
  <c r="D22" i="5" s="1"/>
  <c r="N16" i="2"/>
  <c r="N25" i="2"/>
  <c r="N10" i="3"/>
  <c r="N14" i="3" s="1"/>
  <c r="D25" i="5" l="1"/>
  <c r="D26" i="5"/>
  <c r="O10" i="3"/>
  <c r="O14" i="3" s="1"/>
  <c r="N11" i="3"/>
  <c r="N15" i="3" s="1"/>
  <c r="P13" i="2"/>
  <c r="P14" i="2" s="1"/>
  <c r="P20" i="1"/>
  <c r="O23" i="1"/>
  <c r="O24" i="1" s="1"/>
  <c r="O22" i="1"/>
  <c r="O21" i="1"/>
  <c r="O9" i="5"/>
  <c r="E21" i="5" s="1"/>
  <c r="O24" i="2"/>
  <c r="O16" i="2"/>
  <c r="O10" i="5"/>
  <c r="E22" i="5" s="1"/>
  <c r="O15" i="2"/>
  <c r="O17" i="2"/>
  <c r="O18" i="2" s="1"/>
  <c r="O25" i="2"/>
  <c r="E26" i="5" l="1"/>
  <c r="E25" i="5"/>
  <c r="P22" i="1"/>
  <c r="P23" i="1"/>
  <c r="P24" i="1" s="1"/>
  <c r="P9" i="5"/>
  <c r="F21" i="5" s="1"/>
  <c r="K21" i="5" s="1"/>
  <c r="P21" i="1"/>
  <c r="P10" i="5"/>
  <c r="F22" i="5" s="1"/>
  <c r="P16" i="2"/>
  <c r="P15" i="2"/>
  <c r="P17" i="2"/>
  <c r="P18" i="2" s="1"/>
  <c r="P24" i="2"/>
  <c r="P25" i="2"/>
  <c r="O11" i="3"/>
  <c r="O15" i="3" s="1"/>
  <c r="P10" i="3"/>
  <c r="P11" i="3" s="1"/>
  <c r="P15" i="3" s="1"/>
  <c r="F25" i="5" l="1"/>
  <c r="F26" i="5"/>
  <c r="C44" i="5"/>
  <c r="D44" i="5" s="1"/>
  <c r="K22" i="5"/>
  <c r="K25" i="5" s="1"/>
  <c r="P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A5" authorId="0" shapeId="0" xr:uid="{32511833-DEFD-4AF9-8735-8994EFB261A9}">
      <text>
        <r>
          <rPr>
            <b/>
            <sz val="9"/>
            <color indexed="81"/>
            <rFont val="Tahoma"/>
            <family val="2"/>
          </rPr>
          <t xml:space="preserve">Earnings Before Interests, Taxes, Depreciation &amp; Amortization
</t>
        </r>
        <r>
          <rPr>
            <sz val="9"/>
            <color indexed="81"/>
            <rFont val="Tahoma"/>
            <family val="2"/>
          </rPr>
          <t xml:space="preserve">
Forma rápida de calcularlo: EBIT + D&amp;A* 
* La D&amp;A debemos obtenerla en los Cash Flows from Operations</t>
        </r>
      </text>
    </comment>
    <comment ref="R6" authorId="0" shapeId="0" xr:uid="{12E32CEC-1BC3-43A5-90B0-A4F333D1BA80}">
      <text>
        <r>
          <rPr>
            <b/>
            <sz val="9"/>
            <color rgb="FF000000"/>
            <rFont val="Tahoma"/>
            <family val="2"/>
          </rPr>
          <t>Autor:</t>
        </r>
        <r>
          <rPr>
            <sz val="9"/>
            <color rgb="FF000000"/>
            <rFont val="Tahoma"/>
            <family val="2"/>
          </rPr>
          <t xml:space="preserve">
</t>
        </r>
        <r>
          <rPr>
            <sz val="9"/>
            <color rgb="FF000000"/>
            <rFont val="Tahoma"/>
            <family val="2"/>
          </rPr>
          <t>Si es negativo, implica que la empresa ha recomprado más acciones de las que emite</t>
        </r>
      </text>
    </comment>
    <comment ref="A8" authorId="0" shapeId="0" xr:uid="{BF67636D-6A04-483B-BA83-9C2903EC1D50}">
      <text>
        <r>
          <rPr>
            <sz val="9"/>
            <color indexed="81"/>
            <rFont val="Tahoma"/>
            <family val="2"/>
          </rPr>
          <t>La obtenemos de los flujos de caja operativos (Cash flows from operations)
Se introduce en negativo, es un gasto contable</t>
        </r>
      </text>
    </comment>
    <comment ref="A9" authorId="0" shapeId="0" xr:uid="{407BD63A-7F0A-4863-86D3-81068853917D}">
      <text>
        <r>
          <rPr>
            <b/>
            <sz val="9"/>
            <color indexed="81"/>
            <rFont val="Tahoma"/>
            <family val="2"/>
          </rPr>
          <t xml:space="preserve">Earnings Before Interests and Taxes
</t>
        </r>
        <r>
          <rPr>
            <sz val="9"/>
            <color indexed="81"/>
            <rFont val="Tahoma"/>
            <family val="2"/>
          </rPr>
          <t xml:space="preserve">Puede aparecer como: Beneficio operativo, operating income, operating profit, income from operations...
</t>
        </r>
      </text>
    </comment>
    <comment ref="A12" authorId="0" shapeId="0" xr:uid="{B30C6BA4-F0E5-4409-8C2A-59B0CC9F0D49}">
      <text>
        <r>
          <rPr>
            <b/>
            <sz val="9"/>
            <color indexed="81"/>
            <rFont val="Tahoma"/>
            <family val="2"/>
          </rPr>
          <t>Autor:</t>
        </r>
        <r>
          <rPr>
            <sz val="9"/>
            <color indexed="81"/>
            <rFont val="Tahoma"/>
            <family val="2"/>
          </rPr>
          <t xml:space="preserve">
Se introduce en negativo, es un gasto</t>
        </r>
      </text>
    </comment>
    <comment ref="A13" authorId="0" shapeId="0" xr:uid="{0740D686-EFAB-4A79-B6E2-E812E21F8F1E}">
      <text>
        <r>
          <rPr>
            <b/>
            <sz val="9"/>
            <color indexed="81"/>
            <rFont val="Tahoma"/>
            <family val="2"/>
          </rPr>
          <t>Autor:</t>
        </r>
        <r>
          <rPr>
            <sz val="9"/>
            <color indexed="81"/>
            <rFont val="Tahoma"/>
            <family val="2"/>
          </rPr>
          <t xml:space="preserve">
En positivo, es un ingreso</t>
        </r>
      </text>
    </comment>
    <comment ref="A14" authorId="0" shapeId="0" xr:uid="{94EB8843-69ED-4997-BE4A-ABDA0247C8A0}">
      <text>
        <r>
          <rPr>
            <b/>
            <sz val="11"/>
            <color theme="1"/>
            <rFont val="Calibri"/>
            <family val="2"/>
            <scheme val="minor"/>
          </rPr>
          <t>IDC:</t>
        </r>
        <r>
          <rPr>
            <sz val="11"/>
            <color theme="1"/>
            <rFont val="Calibri"/>
            <family val="2"/>
            <scheme val="minor"/>
          </rPr>
          <t xml:space="preserve"> 
Total Interest Expense = Interest Expense + Interest Income
Número Negativo = gasto // Positivo = ingreso</t>
        </r>
      </text>
    </comment>
    <comment ref="A15" authorId="0" shapeId="0" xr:uid="{03519D34-0372-438B-8018-B0882899913B}">
      <text>
        <r>
          <rPr>
            <b/>
            <sz val="9"/>
            <color indexed="81"/>
            <rFont val="Tahoma"/>
            <family val="2"/>
          </rPr>
          <t>Earnings Before Taxes = Pretax Income = Bneficio antes de impuestos (BAI)</t>
        </r>
      </text>
    </comment>
    <comment ref="A16" authorId="0" shapeId="0" xr:uid="{DFAAD273-4CAA-4F13-97DC-133243016382}">
      <text>
        <r>
          <rPr>
            <sz val="9"/>
            <color indexed="81"/>
            <rFont val="Tahoma"/>
            <family val="2"/>
          </rPr>
          <t>Introducir en negativo si es un ingreso (devolución de impuestos)
Taxes Paid = Tax Expense = Impuesto sobre beneficio</t>
        </r>
      </text>
    </comment>
    <comment ref="A17" authorId="0" shapeId="0" xr:uid="{060F079A-FB43-4862-B558-6503A3045D57}">
      <text>
        <r>
          <rPr>
            <sz val="9"/>
            <color rgb="FF000000"/>
            <rFont val="Tahoma"/>
            <family val="2"/>
          </rPr>
          <t>Effective Tax Rate = Tasa impositiva efectiva = Impuesto sobre beneficio = Impuesto de sociedades</t>
        </r>
      </text>
    </comment>
    <comment ref="A18" authorId="0" shapeId="0" xr:uid="{21639DC2-DD9C-486E-BDB3-025700068E34}">
      <text>
        <r>
          <rPr>
            <b/>
            <sz val="9"/>
            <color indexed="81"/>
            <rFont val="Tahoma"/>
            <family val="2"/>
          </rPr>
          <t>Autor:</t>
        </r>
        <r>
          <rPr>
            <sz val="9"/>
            <color indexed="81"/>
            <rFont val="Tahoma"/>
            <family val="2"/>
          </rPr>
          <t xml:space="preserve">
Consolidated Net Income = Beneficio Neto Consolidado (antes de descontar intereses minoritarios)</t>
        </r>
      </text>
    </comment>
    <comment ref="A20" authorId="0" shapeId="0" xr:uid="{A5D78346-AF0F-42C2-8738-E6BEFEE29455}">
      <text>
        <r>
          <rPr>
            <sz val="9"/>
            <color indexed="81"/>
            <rFont val="Tahoma"/>
            <family val="2"/>
          </rPr>
          <t>Net Income = Net Income to the company = Net income to common shareholders = Profit after taxes = Beneficio neto = beneficio después de impuestos = resultado neto</t>
        </r>
      </text>
    </comment>
    <comment ref="A21" authorId="0" shapeId="0" xr:uid="{3B567CB2-F717-46CA-B9E9-23B23D652581}">
      <text>
        <r>
          <rPr>
            <b/>
            <sz val="9"/>
            <color indexed="81"/>
            <rFont val="Tahoma"/>
            <family val="2"/>
          </rPr>
          <t>Autor:</t>
        </r>
        <r>
          <rPr>
            <sz val="9"/>
            <color indexed="81"/>
            <rFont val="Tahoma"/>
            <family val="2"/>
          </rPr>
          <t xml:space="preserve">
Margen de beneficio neto</t>
        </r>
      </text>
    </comment>
    <comment ref="A23" authorId="0" shapeId="0" xr:uid="{50699F69-1902-4A9B-958F-1D84A1BAAB7C}">
      <text>
        <r>
          <rPr>
            <sz val="9"/>
            <color indexed="81"/>
            <rFont val="Tahoma"/>
            <family val="2"/>
          </rPr>
          <t>EPS = Earnings Per Share = Net income per share = Beneficio por acción = Beneficio neto por acción</t>
        </r>
      </text>
    </comment>
    <comment ref="A25" authorId="0" shapeId="0" xr:uid="{2C780190-F3CB-4DE5-8AED-A1838AC6E740}">
      <text>
        <r>
          <rPr>
            <sz val="9"/>
            <color indexed="81"/>
            <rFont val="Tahoma"/>
            <family val="2"/>
          </rPr>
          <t>Número total de acciones diluidas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7E4C5449-4D6C-4E95-A98D-57D9FD6E0B74}">
      <text>
        <r>
          <rPr>
            <sz val="9"/>
            <color indexed="81"/>
            <rFont val="Tahoma"/>
            <family val="2"/>
          </rPr>
          <t>Si la compañlía no detalla cuando gasta en capex mantenimiento podemos:
a) Usar el CapEx / sales medio de los rivales más maduros del sector, ya que apenas tendrán CapEx de crecimiento
b) Usar la Depreciación como CapEx de mantenimiento aproximado
Nombres comunes para esta partida:
Capital Expenditure / Capital Spending / Investments in fixed/intangible assets / Purchases of PP&amp;E / Inversión en inmovilizado material/inmaterial</t>
        </r>
      </text>
    </comment>
    <comment ref="A7" authorId="0" shapeId="0" xr:uid="{45801A05-2E25-416B-A34E-FBB55E8A4A75}">
      <text>
        <r>
          <rPr>
            <sz val="9"/>
            <color indexed="81"/>
            <rFont val="Tahoma"/>
            <family val="2"/>
          </rPr>
          <t>Inventarios</t>
        </r>
      </text>
    </comment>
    <comment ref="A8" authorId="0" shapeId="0" xr:uid="{DD6AF691-1E83-49CF-921D-5509B7E82574}">
      <text>
        <r>
          <rPr>
            <sz val="9"/>
            <color rgb="FF000000"/>
            <rFont val="Tahoma"/>
            <family val="2"/>
          </rPr>
          <t>Receivables, customer accounts, cuentas a cobrar</t>
        </r>
      </text>
    </comment>
    <comment ref="A9" authorId="0" shapeId="0" xr:uid="{028FB7C3-AB96-4677-8F0C-92F7FAC5C8F0}">
      <text>
        <r>
          <rPr>
            <sz val="9"/>
            <color indexed="81"/>
            <rFont val="Tahoma"/>
            <family val="2"/>
          </rPr>
          <t>Payables, supplier accounts, cuentas a pagar</t>
        </r>
      </text>
    </comment>
    <comment ref="A10" authorId="0" shapeId="0" xr:uid="{0A121268-3A5E-489A-A9C2-65CADFB87A1E}">
      <text>
        <r>
          <rPr>
            <b/>
            <sz val="9"/>
            <color indexed="81"/>
            <rFont val="Tahoma"/>
            <family val="2"/>
          </rPr>
          <t>Autor:</t>
        </r>
        <r>
          <rPr>
            <sz val="9"/>
            <color indexed="81"/>
            <rFont val="Tahoma"/>
            <family val="2"/>
          </rPr>
          <t xml:space="preserve">
Ingresos diferidos
Corresponde a dinero que la compañía ya ha ingresado en la caja fuerte, pero que todavía no ha podido contabilizar
Ejemplos: Cuota del gimnasio, pagas 12 meses por adelantado, pero la compañía solo ha podido contabilizar el 1º trimestre (3 meses de ventas). Los restantes 9 meses, aparecerán en el balance como "Unearned revenue", a pesar de que ya tienen el dinero en la caja fuerte.
Ocurre lo mismo con modelos de negocios basados en suscripciones: Spotify, Amazon/AWS, Microsoft/Azure...</t>
        </r>
      </text>
    </comment>
    <comment ref="B12" authorId="0" shapeId="0" xr:uid="{9B683770-B6E3-460C-AC7B-38A96453D4AF}">
      <text>
        <r>
          <rPr>
            <sz val="9"/>
            <color indexed="81"/>
            <rFont val="Tahoma"/>
            <family val="2"/>
          </rPr>
          <t>No se pueden calcular las variaciones de WC ya que no hay datos del año fiscal anterior</t>
        </r>
      </text>
    </comment>
    <comment ref="A13" authorId="0" shapeId="0" xr:uid="{215FCB64-0431-4F4D-B7DB-336EB51BC533}">
      <text>
        <r>
          <rPr>
            <sz val="9"/>
            <color rgb="FF000000"/>
            <rFont val="Tahoma"/>
            <family val="2"/>
          </rPr>
          <t>Por defecto obtiene los valores de "Minority Interests" desde la hoja "1. Income Statement". 
SE PUEDE CAMBIAR
Si es un ingreso, va en POSITIVO</t>
        </r>
      </text>
    </comment>
    <comment ref="A14" authorId="0" shapeId="0" xr:uid="{8187D48E-A1E3-4C13-8B0C-B63CF9AB00A6}">
      <text>
        <r>
          <rPr>
            <b/>
            <sz val="9"/>
            <color indexed="81"/>
            <rFont val="Tahoma"/>
            <family val="2"/>
          </rPr>
          <t>IDC:</t>
        </r>
        <r>
          <rPr>
            <sz val="9"/>
            <color indexed="81"/>
            <rFont val="Tahoma"/>
            <family val="2"/>
          </rPr>
          <t xml:space="preserve">
FCF = EBITDA - Intereses - Impuestos - CapEx Mantenimiento - Cambios en Working Capital</t>
        </r>
      </text>
    </comment>
    <comment ref="A19" authorId="0" shapeId="0" xr:uid="{0E9138F3-2CC5-4D1C-BDB2-93B3E5AB7D63}">
      <text>
        <r>
          <rPr>
            <b/>
            <sz val="9"/>
            <color indexed="81"/>
            <rFont val="Tahoma"/>
            <family val="2"/>
          </rPr>
          <t xml:space="preserve">IDC:
Cambio neto en la posición de caja
</t>
        </r>
        <r>
          <rPr>
            <sz val="9"/>
            <color indexed="81"/>
            <rFont val="Tahoma"/>
            <family val="2"/>
          </rPr>
          <t xml:space="preserve">Este campo es la suma del resultado de las tres clases de flujos de caja:
     Net change in cash = Cash from Operations + Cash from Investing + Cash from Financing
Es el movimiento </t>
        </r>
        <r>
          <rPr>
            <b/>
            <sz val="9"/>
            <color indexed="81"/>
            <rFont val="Tahoma"/>
            <family val="2"/>
          </rPr>
          <t>REAL</t>
        </r>
        <r>
          <rPr>
            <sz val="9"/>
            <color indexed="81"/>
            <rFont val="Tahoma"/>
            <family val="2"/>
          </rPr>
          <t xml:space="preserve"> de caja de la empresa, incluye el dinero que generan (o que "queman") las operaciones, las inversiones y la financiación
- Si la partida es </t>
        </r>
        <r>
          <rPr>
            <b/>
            <sz val="9"/>
            <color indexed="81"/>
            <rFont val="Tahoma"/>
            <family val="2"/>
          </rPr>
          <t>negativa</t>
        </r>
        <r>
          <rPr>
            <sz val="9"/>
            <color indexed="81"/>
            <rFont val="Tahoma"/>
            <family val="2"/>
          </rPr>
          <t xml:space="preserve"> refleja cuanto dinero ha </t>
        </r>
        <r>
          <rPr>
            <b/>
            <sz val="9"/>
            <color indexed="81"/>
            <rFont val="Tahoma"/>
            <family val="2"/>
          </rPr>
          <t>QUEMADO</t>
        </r>
        <r>
          <rPr>
            <sz val="9"/>
            <color indexed="81"/>
            <rFont val="Tahoma"/>
            <family val="2"/>
          </rPr>
          <t xml:space="preserve"> de la caja fuerte la empresa 
- Si la partida es </t>
        </r>
        <r>
          <rPr>
            <b/>
            <sz val="9"/>
            <color indexed="81"/>
            <rFont val="Tahoma"/>
            <family val="2"/>
          </rPr>
          <t>positiva</t>
        </r>
        <r>
          <rPr>
            <sz val="9"/>
            <color indexed="81"/>
            <rFont val="Tahoma"/>
            <family val="2"/>
          </rPr>
          <t xml:space="preserve"> refleja cuanto dinero ha </t>
        </r>
        <r>
          <rPr>
            <b/>
            <sz val="9"/>
            <color indexed="81"/>
            <rFont val="Tahoma"/>
            <family val="2"/>
          </rPr>
          <t>INGRESADO</t>
        </r>
        <r>
          <rPr>
            <sz val="9"/>
            <color indexed="81"/>
            <rFont val="Tahoma"/>
            <family val="2"/>
          </rPr>
          <t xml:space="preserve"> en la caja fuerte la empresa </t>
        </r>
        <r>
          <rPr>
            <sz val="9"/>
            <color indexed="81"/>
            <rFont val="Tahoma"/>
            <family val="2"/>
          </rPr>
          <t xml:space="preserve">
</t>
        </r>
      </text>
    </comment>
    <comment ref="A25" authorId="0" shapeId="0" xr:uid="{A7F52697-D178-4EED-BE1B-D0A9E2643043}">
      <text>
        <r>
          <rPr>
            <b/>
            <sz val="9"/>
            <color indexed="81"/>
            <rFont val="Tahoma"/>
            <family val="2"/>
          </rPr>
          <t xml:space="preserve">IDC:
</t>
        </r>
        <r>
          <rPr>
            <sz val="9"/>
            <color indexed="81"/>
            <rFont val="Tahoma"/>
            <family val="2"/>
          </rPr>
          <t xml:space="preserve">
"Cash conversion"</t>
        </r>
      </text>
    </comment>
    <comment ref="A28" authorId="0" shapeId="0" xr:uid="{38F67F84-D690-4234-A465-04A5E9FAFEDC}">
      <text>
        <r>
          <rPr>
            <b/>
            <sz val="9"/>
            <color indexed="81"/>
            <rFont val="Tahoma"/>
            <family val="2"/>
          </rPr>
          <t>IDC:</t>
        </r>
        <r>
          <rPr>
            <sz val="9"/>
            <color indexed="81"/>
            <rFont val="Tahoma"/>
            <family val="2"/>
          </rPr>
          <t xml:space="preserve">
Crecimiento orgánico</t>
        </r>
      </text>
    </comment>
    <comment ref="A29" authorId="0" shapeId="0" xr:uid="{9C25644B-3D43-4114-9967-41697D6FA5FE}">
      <text>
        <r>
          <rPr>
            <b/>
            <sz val="9"/>
            <color indexed="81"/>
            <rFont val="Tahoma"/>
            <family val="2"/>
          </rPr>
          <t xml:space="preserve">IDC:
</t>
        </r>
        <r>
          <rPr>
            <sz val="9"/>
            <color indexed="81"/>
            <rFont val="Tahoma"/>
            <family val="2"/>
          </rPr>
          <t xml:space="preserve">Crecimiento inorgánico. </t>
        </r>
        <r>
          <rPr>
            <sz val="9"/>
            <color indexed="81"/>
            <rFont val="Tahoma"/>
            <family val="2"/>
          </rPr>
          <t>Usamos la partida neta:
Adquisiciones = Cash acquisitions - Divestitures
Si el % es negativo, implica que las desinversiones son superiores a las adquisiciones, es decir, la empresa ingresó más dinero del que invirtió en adquisiiciones</t>
        </r>
      </text>
    </comment>
    <comment ref="A30" authorId="0" shapeId="0" xr:uid="{A7F2B90A-4F24-440C-9BC1-B7B7D8D3C989}">
      <text>
        <r>
          <rPr>
            <b/>
            <sz val="9"/>
            <color indexed="81"/>
            <rFont val="Tahoma"/>
            <family val="2"/>
          </rPr>
          <t>IDC:</t>
        </r>
        <r>
          <rPr>
            <sz val="9"/>
            <color indexed="81"/>
            <rFont val="Tahoma"/>
            <family val="2"/>
          </rPr>
          <t xml:space="preserve">
Equivale al Payout ratio, pero en lugar de dividir los dividendos entre el Net Income, lo dividimos entre el FCF, que es MUCHO más exacto</t>
        </r>
      </text>
    </comment>
    <comment ref="A33" authorId="0" shapeId="0" xr:uid="{C3935C79-5F46-4E42-9487-8D5C4932FE11}">
      <text>
        <r>
          <rPr>
            <b/>
            <sz val="9"/>
            <color indexed="81"/>
            <rFont val="Tahoma"/>
            <family val="2"/>
          </rPr>
          <t>Autor:</t>
        </r>
        <r>
          <rPr>
            <sz val="9"/>
            <color indexed="81"/>
            <rFont val="Tahoma"/>
            <family val="2"/>
          </rPr>
          <t xml:space="preserve">
Nos indica qué % del FCF dedican a estos fines
Si es superior al 100%, implica que la compañía ha reducido su posición de caja, o bien ha necesitado emitir deuda para financiarse
Si es negativo, podría ser debido a que hubo una desinversión importante (venta de activos, subsidiaria....), o a que simplemente el FCF fue negativo ese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Short-Term Debt, Financial Debt, Borrowings, Loans, Current portion of long-term debt, préstamos a corto plazo, deuda financiera corriente
Debemos incluir solo la deuda financiera como préstamos, bonos o instrumentos similares (obligaciones, notas), ya que a nivel legal
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 ref="A16" authorId="0" shapeId="0" xr:uid="{0DF9B622-6D49-4830-8625-DF94449E2AE3}">
      <text>
        <r>
          <rPr>
            <b/>
            <sz val="9"/>
            <color indexed="81"/>
            <rFont val="Tahoma"/>
            <family val="2"/>
          </rPr>
          <t>IDC:</t>
        </r>
        <r>
          <rPr>
            <sz val="9"/>
            <color indexed="81"/>
            <rFont val="Tahoma"/>
            <family val="2"/>
          </rPr>
          <t xml:space="preserve">
Tasa de reinversión (orgánica + inorgánica)
Orgánica = CapEx Expansión
Inorgánica = Importet pagado por adquisiciones
</t>
        </r>
        <r>
          <rPr>
            <b/>
            <sz val="9"/>
            <color indexed="81"/>
            <rFont val="Tahoma"/>
            <family val="2"/>
          </rPr>
          <t>Tasa de reinversión</t>
        </r>
        <r>
          <rPr>
            <sz val="9"/>
            <color indexed="81"/>
            <rFont val="Tahoma"/>
            <family val="2"/>
          </rPr>
          <t xml:space="preserve"> = ((Capex neto - Capex mantenimiento) + Importe pagado por adquisiciones) / FCF
Ojo, es posible que la compañía invierta en crecimiento orgánico a través de su P&amp;L, pero esto no es posible automatizarlo y habría que hacer estimaciones para esa compañía en concreto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C02889E2-0343-44DF-A727-0365B94DAC07}">
      <text>
        <r>
          <rPr>
            <b/>
            <sz val="9"/>
            <color indexed="81"/>
            <rFont val="Tahoma"/>
            <family val="2"/>
          </rPr>
          <t>Autor:</t>
        </r>
        <r>
          <rPr>
            <sz val="9"/>
            <color indexed="81"/>
            <rFont val="Tahoma"/>
            <family val="2"/>
          </rPr>
          <t xml:space="preserve">
Si es caja neta, va en NEGATIVO</t>
        </r>
      </text>
    </comment>
    <comment ref="B14" authorId="0" shapeId="0" xr:uid="{BA4148FA-2FB6-4427-98EB-13EBADA7F56B}">
      <text>
        <r>
          <rPr>
            <sz val="9"/>
            <color indexed="81"/>
            <rFont val="Tahoma"/>
            <family val="2"/>
          </rPr>
          <t xml:space="preserve">Last Twelve Months - Últimos 12 meses
Estos múltiplos se calculan con los datos financieros del último año fiscal disponible
</t>
        </r>
      </text>
    </comment>
    <comment ref="C14" authorId="0" shapeId="0" xr:uid="{DA113695-767D-40F7-A372-83279917C8EB}">
      <text>
        <r>
          <rPr>
            <sz val="9"/>
            <color indexed="81"/>
            <rFont val="Tahoma"/>
            <family val="2"/>
          </rPr>
          <t>Se calculan con las estimaciones del primer año disponible</t>
        </r>
      </text>
    </comment>
    <comment ref="H20" authorId="0" shapeId="0" xr:uid="{75BBEC35-CB27-46B5-A445-13B454896105}">
      <text>
        <r>
          <rPr>
            <b/>
            <sz val="9"/>
            <color rgb="FF000000"/>
            <rFont val="Tahoma"/>
            <family val="2"/>
          </rPr>
          <t>IDC:</t>
        </r>
        <r>
          <rPr>
            <sz val="9"/>
            <color rgb="FF000000"/>
            <rFont val="Tahoma"/>
            <family val="2"/>
          </rPr>
          <t xml:space="preserve">
</t>
        </r>
        <r>
          <rPr>
            <sz val="9"/>
            <color rgb="FF000000"/>
            <rFont val="Tahoma"/>
            <family val="2"/>
          </rPr>
          <t xml:space="preserve">CAGR = Compounded Annual Growth Rate
</t>
        </r>
        <r>
          <rPr>
            <sz val="9"/>
            <color rgb="FF000000"/>
            <rFont val="Tahoma"/>
            <family val="2"/>
          </rPr>
          <t xml:space="preserve">
</t>
        </r>
        <r>
          <rPr>
            <sz val="9"/>
            <color rgb="FF000000"/>
            <rFont val="Tahoma"/>
            <family val="2"/>
          </rPr>
          <t>Es decir, el porcentaje de retorno anualizado esperado para la inversión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7" authorId="0" shapeId="0" xr:uid="{9E21F121-A156-484D-AA53-90A73B7C8163}">
      <text>
        <r>
          <rPr>
            <b/>
            <sz val="9"/>
            <color indexed="81"/>
            <rFont val="Tahoma"/>
            <family val="2"/>
          </rPr>
          <t>Autor:</t>
        </r>
        <r>
          <rPr>
            <sz val="9"/>
            <color indexed="81"/>
            <rFont val="Tahoma"/>
            <family val="2"/>
          </rPr>
          <t xml:space="preserve">
Corresponde a pagos en acciones Y amplilaciones de capital</t>
        </r>
      </text>
    </comment>
    <comment ref="A14"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5"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2" authorId="0" shapeId="0" xr:uid="{5B251530-83DB-4D51-BDB1-D6ED3A85DA7A}">
      <text>
        <r>
          <rPr>
            <b/>
            <sz val="9"/>
            <color indexed="81"/>
            <rFont val="Tahoma"/>
            <family val="2"/>
          </rPr>
          <t>Autor:</t>
        </r>
        <r>
          <rPr>
            <sz val="9"/>
            <color indexed="81"/>
            <rFont val="Tahoma"/>
            <family val="2"/>
          </rPr>
          <t xml:space="preserve">
Sumatorio de TODA la deuda financiera: Corto Plazo + Largo Plazo</t>
        </r>
      </text>
    </comment>
    <comment ref="A44" authorId="0" shapeId="0" xr:uid="{E1E4086A-224C-4BC2-B66E-A35982EFCD5F}">
      <text>
        <r>
          <rPr>
            <b/>
            <sz val="9"/>
            <color indexed="81"/>
            <rFont val="Tahoma"/>
            <family val="2"/>
          </rPr>
          <t>Autor:</t>
        </r>
        <r>
          <rPr>
            <sz val="9"/>
            <color indexed="81"/>
            <rFont val="Tahoma"/>
            <family val="2"/>
          </rPr>
          <t xml:space="preserve">
Número positivo = repago neto de deuda
Número negativo = emisión neta de deuda</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<sst xmlns="http://schemas.openxmlformats.org/spreadsheetml/2006/main" count="504" uniqueCount="384">
  <si>
    <t>Consolidated Net Income</t>
  </si>
  <si>
    <t>Net Income</t>
  </si>
  <si>
    <t>EBITDA</t>
  </si>
  <si>
    <t xml:space="preserve">EBIT </t>
  </si>
  <si>
    <t>EBIT</t>
  </si>
  <si>
    <t>Net income</t>
  </si>
  <si>
    <t>FCF</t>
  </si>
  <si>
    <t>Sales</t>
  </si>
  <si>
    <t xml:space="preserve">    EBITDA margin %</t>
  </si>
  <si>
    <t xml:space="preserve">    EBIT margin %</t>
  </si>
  <si>
    <t>Market cap</t>
  </si>
  <si>
    <t xml:space="preserve">    Y/Y Growth %</t>
  </si>
  <si>
    <t>(+) Equity</t>
  </si>
  <si>
    <t xml:space="preserve">Free Cash Flow </t>
  </si>
  <si>
    <t>EBIT x (1-t)</t>
  </si>
  <si>
    <t>(-) Marketable Securities</t>
  </si>
  <si>
    <t>EBT</t>
  </si>
  <si>
    <t xml:space="preserve">    Tax rate %</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</si>
  <si>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</si>
  <si>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</si>
  <si>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</si>
  <si>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</si>
  <si>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</si>
  <si>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</si>
  <si>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</si>
  <si>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</si>
  <si>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</si>
  <si>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</si>
  <si>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</si>
  <si>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</si>
  <si>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</si>
  <si>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</si>
  <si>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</si>
  <si>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</si>
  <si>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</si>
  <si>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</si>
  <si>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</si>
  <si>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</si>
  <si>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</si>
  <si>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</si>
  <si>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</si>
  <si>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</si>
  <si>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</si>
  <si>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</si>
  <si>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</si>
  <si>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</si>
  <si>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</si>
  <si>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</si>
  <si>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</si>
  <si>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</si>
  <si>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</si>
  <si>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</si>
  <si>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</si>
  <si>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</si>
  <si>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</si>
  <si>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</si>
  <si>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Tax Rate</t>
  </si>
  <si>
    <t>Margen EBIT</t>
  </si>
  <si>
    <t>Promedio</t>
  </si>
  <si>
    <t>Working Capital / Ventas</t>
  </si>
  <si>
    <t>CapEx Mantenimiento / Ventas</t>
  </si>
  <si>
    <t>(+) Short-Term Debt</t>
  </si>
  <si>
    <t>(+) Long-Term Debt</t>
  </si>
  <si>
    <t>PER ex Cash</t>
  </si>
  <si>
    <t>FCF / Ventas (FCF Margin)</t>
  </si>
  <si>
    <t>Aumento nº acciones</t>
  </si>
  <si>
    <t>(millones, excepto EPS)</t>
  </si>
  <si>
    <t>(millones, excepto FCF per share)</t>
  </si>
  <si>
    <t>Income Statement</t>
  </si>
  <si>
    <t>Cash Flow Statement</t>
  </si>
  <si>
    <t>Eficiencia y márgenes</t>
  </si>
  <si>
    <t>Ratios de rentabilidad</t>
  </si>
  <si>
    <t>LTM</t>
  </si>
  <si>
    <t>Objetivo</t>
  </si>
  <si>
    <t>Precio objetivo</t>
  </si>
  <si>
    <t>NTM</t>
  </si>
  <si>
    <t>Conversión en Caja (EBITDA que se convierte en FCF)</t>
  </si>
  <si>
    <t>(-) Taxes paid</t>
  </si>
  <si>
    <t>WC año más reciente - WC año anterior. (P.ej.: WC 2021 - WC 2020)</t>
  </si>
  <si>
    <t>Valoración</t>
  </si>
  <si>
    <t>Márgenes %</t>
  </si>
  <si>
    <t>Rentabilidad %</t>
  </si>
  <si>
    <t>Enterprise Value / EBITDA</t>
  </si>
  <si>
    <t>Enterprise Value / EBIT</t>
  </si>
  <si>
    <t>Enterprise Value / FCF</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</si>
  <si>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</si>
  <si>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</si>
  <si>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</si>
  <si>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</si>
  <si>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Múltiplos de valoración</t>
  </si>
  <si>
    <t>Evolución histórica</t>
  </si>
  <si>
    <t>Ventas</t>
  </si>
  <si>
    <t>FCF per share</t>
  </si>
  <si>
    <t>FCF Margin %</t>
  </si>
  <si>
    <t>Intereses</t>
  </si>
  <si>
    <t>Impuestos y otros</t>
  </si>
  <si>
    <t>Cambios de WC</t>
  </si>
  <si>
    <t>Costes de ventas y operativos</t>
  </si>
  <si>
    <t>(millones)</t>
  </si>
  <si>
    <t>EV / FCF</t>
  </si>
  <si>
    <t>EV / EBITDA</t>
  </si>
  <si>
    <t>EV / EBIT</t>
  </si>
  <si>
    <t xml:space="preserve">EV / FCF </t>
  </si>
  <si>
    <t>CapEx Mant.</t>
  </si>
  <si>
    <t>Invested Capital</t>
  </si>
  <si>
    <t>ROIC</t>
  </si>
  <si>
    <t>Free Cash Flow per share - FCFPS</t>
  </si>
  <si>
    <t>Fully diluted shares - millones</t>
  </si>
  <si>
    <t>(-) Otros ajustes - Opcional; p.ej. Minority Interests</t>
  </si>
  <si>
    <t>Total Interest expense</t>
  </si>
  <si>
    <t>CapEx Neto</t>
  </si>
  <si>
    <t>CapEx Mantenimiento</t>
  </si>
  <si>
    <t>Cálculos CF</t>
  </si>
  <si>
    <t>Depreciation &amp; Amortization*</t>
  </si>
  <si>
    <t>Capital Expenditure*</t>
  </si>
  <si>
    <t>Sale of Property, Plant, and Equipment*</t>
  </si>
  <si>
    <t>Deuda neta / EBITDA</t>
  </si>
  <si>
    <t>Cash and cash equivalents</t>
  </si>
  <si>
    <t>Reinversión</t>
  </si>
  <si>
    <t>CapEx Expansión</t>
  </si>
  <si>
    <t>Inversión en crecimiento</t>
  </si>
  <si>
    <t>(-) Total interest expense</t>
  </si>
  <si>
    <t>Precio actual</t>
  </si>
  <si>
    <t>Valoración (millones)</t>
  </si>
  <si>
    <t>(-) Variación de Working Capital - CWC</t>
  </si>
  <si>
    <t>Working Capital - WC</t>
  </si>
  <si>
    <t>(+) Current Operating Leases Liabilities</t>
  </si>
  <si>
    <t>(+) Non-Current Operating Leases Liabilities</t>
  </si>
  <si>
    <t>Tasa de reinversión</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</si>
  <si>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</si>
  <si>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</si>
  <si>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</si>
  <si>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</si>
  <si>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r>
      <t xml:space="preserve">Tax Expense - en </t>
    </r>
    <r>
      <rPr>
        <sz val="12"/>
        <color rgb="FFFF0000"/>
        <rFont val="Ebrima"/>
      </rPr>
      <t>negativo</t>
    </r>
  </si>
  <si>
    <t>Asignación de capital (como % del FCF)</t>
  </si>
  <si>
    <t>Recompras</t>
  </si>
  <si>
    <t>Dividendos</t>
  </si>
  <si>
    <t>Adquisiciones</t>
  </si>
  <si>
    <t>Total</t>
  </si>
  <si>
    <t>Acumulado</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</si>
  <si>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</si>
  <si>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</si>
  <si>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</si>
  <si>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</si>
  <si>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Net Change in Cash</t>
  </si>
  <si>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</si>
  <si>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</si>
  <si>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</si>
  <si>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</si>
  <si>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</si>
  <si>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</si>
  <si>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</si>
  <si>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</si>
  <si>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r>
      <t xml:space="preserve">(-) CapEx Mantenimiento - en </t>
    </r>
    <r>
      <rPr>
        <sz val="12"/>
        <color rgb="FFFF0000"/>
        <rFont val="Ebrima"/>
      </rPr>
      <t>negativo</t>
    </r>
  </si>
  <si>
    <t xml:space="preserve"> </t>
  </si>
  <si>
    <t>Sale (Purchase) of Intangible assets*</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</si>
  <si>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</si>
  <si>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 xml:space="preserve">AJUSTAR MANUALMENTE </t>
  </si>
  <si>
    <t>AJUSTAR MANUALMENTE</t>
  </si>
  <si>
    <t>CapEx Expansión (crecimiento orgánico)</t>
  </si>
  <si>
    <t>Instrucciones de uso</t>
  </si>
  <si>
    <t>CapEx Expansión (Crecimiento orgánico)</t>
  </si>
  <si>
    <t>Adquisiciones (Crecimiento inorgánico)</t>
  </si>
  <si>
    <t>Impairments</t>
  </si>
  <si>
    <t>Desinversiones</t>
  </si>
  <si>
    <t>Emisión de acciones</t>
  </si>
  <si>
    <t>Posibles red flags</t>
  </si>
  <si>
    <t>Decrecimiento ventas</t>
  </si>
  <si>
    <t>Decrecimiento margen operativo</t>
  </si>
  <si>
    <t>Posibles "red flags" (1)</t>
  </si>
  <si>
    <t>Posibles "red flags" (2)</t>
  </si>
  <si>
    <t># de años con...</t>
  </si>
  <si>
    <t>Decrecimiento de ventas</t>
  </si>
  <si>
    <t>Decrecimiento de margen operativo</t>
  </si>
  <si>
    <t>FCF negativo</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</si>
  <si>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</si>
  <si>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</si>
  <si>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</si>
  <si>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Ratio Deuda Neta / EBITDA elevado (&gt;2,5x)</t>
  </si>
  <si>
    <t>Posibles "Red Flags"</t>
  </si>
  <si>
    <t>- Si no captura bien los datos, revisa que el separador decimal de tu aplicación de hoja de cálculo coincida con TIKR. También puedes probar a  ocultar los decimales en TIKR ("Decimals to display" =&gt;  0) y pegar de nuevo los datos</t>
  </si>
  <si>
    <t>Adquisiciones (crecimiento inorgánico)</t>
  </si>
  <si>
    <t>Pagos en acciones</t>
  </si>
  <si>
    <t>Deuda Total</t>
  </si>
  <si>
    <t>Deuda CP</t>
  </si>
  <si>
    <t>Deuda LP</t>
  </si>
  <si>
    <t>Estimación Caja y Deuda a futuro</t>
  </si>
  <si>
    <t>Cash + Marketable securities</t>
  </si>
  <si>
    <t>Cash</t>
  </si>
  <si>
    <t>Marketable securities</t>
  </si>
  <si>
    <t>P&amp;L - Beneficio "contable"</t>
  </si>
  <si>
    <t>Fórmula #1</t>
  </si>
  <si>
    <t>Fórmula #2</t>
  </si>
  <si>
    <t>Fórmula #3</t>
  </si>
  <si>
    <t>Net Income / Total Shareholders' Equity</t>
  </si>
  <si>
    <t>Amortización neta de deuda</t>
  </si>
  <si>
    <t>-</t>
  </si>
  <si>
    <t>Interest Expense</t>
  </si>
  <si>
    <t>Depreciation &amp; Amortization</t>
  </si>
  <si>
    <t>Crecimiento de Ventas</t>
  </si>
  <si>
    <t>Interest Income</t>
  </si>
  <si>
    <t>Minority Interests</t>
  </si>
  <si>
    <t xml:space="preserve">    Net margin %</t>
  </si>
  <si>
    <t>(-) Accounts Payable</t>
  </si>
  <si>
    <t>(+) Inventories</t>
  </si>
  <si>
    <t>(+) Accounts Receivable</t>
  </si>
  <si>
    <t>Crecimiento (Gráficos)</t>
  </si>
  <si>
    <t>Márgenes (Gráficos)</t>
  </si>
  <si>
    <t>FCF vs ROIC (Gráficos)</t>
  </si>
  <si>
    <t>Costes (Gráficos)</t>
  </si>
  <si>
    <t>Asignación de capital (2. FCF)</t>
  </si>
  <si>
    <t>(-) Unearned Revenue</t>
  </si>
  <si>
    <r>
      <t>- Hoja 1</t>
    </r>
    <r>
      <rPr>
        <b/>
        <sz val="12"/>
        <color theme="3"/>
        <rFont val="Ebrima"/>
      </rPr>
      <t>.IS</t>
    </r>
    <r>
      <rPr>
        <sz val="12"/>
        <color theme="3"/>
        <rFont val="Ebrima"/>
      </rPr>
      <t>: Las estimaciones pasan a ser anuales, de manera independiente (Crecimiento ventas, Margen EBIT, Tax Rate y Recompras); Se ha añadido el campo YoY Growth % al EBITDA, EBIT y Net Income</t>
    </r>
  </si>
  <si>
    <r>
      <t>- Hoja 2</t>
    </r>
    <r>
      <rPr>
        <b/>
        <sz val="12"/>
        <color theme="3"/>
        <rFont val="Ebrima"/>
      </rPr>
      <t>.FCF</t>
    </r>
    <r>
      <rPr>
        <sz val="12"/>
        <color theme="3"/>
        <rFont val="Ebrima"/>
      </rPr>
      <t>: Se ha desglosado la partida "Unearned Revenue" en el WC. Anteriormente, se sumaba a la partida Payables. Esto es meramente informativo, el resultado del WC y de las Variaciones de WC NO cambian</t>
    </r>
  </si>
  <si>
    <r>
      <t>- Hoja 4.</t>
    </r>
    <r>
      <rPr>
        <b/>
        <sz val="12"/>
        <color theme="3"/>
        <rFont val="Ebrima"/>
      </rPr>
      <t>Valoración:</t>
    </r>
    <r>
      <rPr>
        <sz val="12"/>
        <color theme="3"/>
        <rFont val="Ebrima"/>
      </rPr>
      <t xml:space="preserve"> Hemos añadido un campo para calcular el precio de compra según la rentabilidad anual objetivo</t>
    </r>
  </si>
  <si>
    <t>Margen de seguridad (EV/FCF)</t>
  </si>
  <si>
    <t>Diferencia vs precio actual</t>
  </si>
  <si>
    <t>Precio de compra</t>
  </si>
  <si>
    <t>Retorno anual objetivo</t>
  </si>
  <si>
    <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2 y 4). También puedes modificar las celdas con fondo AZUL FLOJO, si así lo crees necesario.</t>
    </r>
  </si>
  <si>
    <r>
      <t xml:space="preserve">- Opcional: Para que la plantilla obtenga los datos desde </t>
    </r>
    <r>
      <rPr>
        <b/>
        <sz val="14"/>
        <color theme="3"/>
        <rFont val="Ebrima"/>
      </rPr>
      <t>TIKR</t>
    </r>
    <r>
      <rPr>
        <sz val="12"/>
        <color theme="3"/>
        <rFont val="Ebrima"/>
      </rPr>
      <t xml:space="preserve"> debes copiar cada uno de los estados financieros y pegarlos en la celda A1 de las </t>
    </r>
    <r>
      <rPr>
        <b/>
        <sz val="12"/>
        <color theme="3"/>
        <rFont val="Ebrima"/>
      </rPr>
      <t>hojas 7 (IS), 8 (BS) y 9 (CF)</t>
    </r>
  </si>
  <si>
    <t>% Cash + Marketable Securities / Ventas</t>
  </si>
  <si>
    <t>Novedades plantilla v2024.3 (9ª edición curso avanzado)</t>
  </si>
  <si>
    <r>
      <t>- Hoja 3</t>
    </r>
    <r>
      <rPr>
        <b/>
        <sz val="12"/>
        <color theme="3"/>
        <rFont val="Ebrima"/>
      </rPr>
      <t>.ROIC</t>
    </r>
    <r>
      <rPr>
        <sz val="12"/>
        <color theme="3"/>
        <rFont val="Ebrima"/>
      </rPr>
      <t>: Hemos incluido en la deuda las partidas correspondientes a la división financiera de las compañías. Ejemplos: Deere &amp; Co, fabricantes de automóviles... ("Finance division debt"). Se ha mejorado la estimación del mix de cash + deuda</t>
    </r>
  </si>
  <si>
    <t>Income Statement | TIKR.com</t>
  </si>
  <si>
    <t>5/31/17</t>
  </si>
  <si>
    <t>5/31/18</t>
  </si>
  <si>
    <t>5/31/19</t>
  </si>
  <si>
    <t>5/31/20</t>
  </si>
  <si>
    <t>5/31/21</t>
  </si>
  <si>
    <t>5/31/22</t>
  </si>
  <si>
    <t>5/31/23</t>
  </si>
  <si>
    <t>5/31/24</t>
  </si>
  <si>
    <t>5/31/25</t>
  </si>
  <si>
    <t>Revenues </t>
  </si>
  <si>
    <t>Total Revenues</t>
  </si>
  <si>
    <t>   % Change YoY </t>
  </si>
  <si>
    <t>Cost of Goods Sold </t>
  </si>
  <si>
    <t>Gross Profit </t>
  </si>
  <si>
    <t>   % Gross Margins </t>
  </si>
  <si>
    <t>Selling General &amp; Admin Expenses </t>
  </si>
  <si>
    <t>Amortization of Goodwill and Intangible Assets</t>
  </si>
  <si>
    <t>Total Operating Expenses</t>
  </si>
  <si>
    <t>Operating Income </t>
  </si>
  <si>
    <t>   % Operating Margins </t>
  </si>
  <si>
    <t>Interest Expense </t>
  </si>
  <si>
    <t>Interest And Investment Income</t>
  </si>
  <si>
    <t>Currency Exchange Gains (Loss) </t>
  </si>
  <si>
    <t>Other Non Operating Income (Expenses)</t>
  </si>
  <si>
    <t>EBT Excl. Unusual Items</t>
  </si>
  <si>
    <t>Merger &amp; Restructuring Charges</t>
  </si>
  <si>
    <t>Impairment of Goodwill</t>
  </si>
  <si>
    <t>Gain (Loss) On Sale Of Assets</t>
  </si>
  <si>
    <t>Asset Writedown </t>
  </si>
  <si>
    <t>Other Unusual Items</t>
  </si>
  <si>
    <t>EBT Incl. Unusual Items</t>
  </si>
  <si>
    <t>Income Tax Expense </t>
  </si>
  <si>
    <t>Earnings From Continuing Operations</t>
  </si>
  <si>
    <t>Earnings Of Discontinued Operations</t>
  </si>
  <si>
    <t>Extraordinary Item &amp; Accounting Change</t>
  </si>
  <si>
    <t>Net Income to Company</t>
  </si>
  <si>
    <t>Preferred Dividend and Other Adjustments</t>
  </si>
  <si>
    <t>Net Income to Common Incl Extra Items </t>
  </si>
  <si>
    <t>   % Net Income to Common Incl Extra Items Margins</t>
  </si>
  <si>
    <t>Net Income to Common Excl. Extra Items </t>
  </si>
  <si>
    <t>   % Net Income to Common Excl. Extra Items Margins</t>
  </si>
  <si>
    <t>Supplementary Data:</t>
  </si>
  <si>
    <t>Diluted EPS Excl Extra Items </t>
  </si>
  <si>
    <t>Weighted Average Diluted Shares Outstanding</t>
  </si>
  <si>
    <t>Weighted Average Basic Shares Outstanding</t>
  </si>
  <si>
    <t>Dividends Per Share</t>
  </si>
  <si>
    <t>Payout Ratio %</t>
  </si>
  <si>
    <t>Basic EPS</t>
  </si>
  <si>
    <t>EBITDA </t>
  </si>
  <si>
    <t>EBITDAR </t>
  </si>
  <si>
    <t>R&amp;D Expense </t>
  </si>
  <si>
    <t>Selling and Marketing Expense </t>
  </si>
  <si>
    <t>Effective Tax Rate % </t>
  </si>
  <si>
    <t>Same Store Sales Growth %</t>
  </si>
  <si>
    <t>Price Factors:</t>
  </si>
  <si>
    <t>Market Cap</t>
  </si>
  <si>
    <t>Price Close</t>
  </si>
  <si>
    <t>TEV</t>
  </si>
  <si>
    <r>
      <t>Active Watchlist: </t>
    </r>
    <r>
      <rPr>
        <b/>
        <sz val="12"/>
        <color rgb="FFCFD2D6"/>
        <rFont val="Calibri"/>
        <family val="2"/>
        <scheme val="minor"/>
      </rPr>
      <t>None</t>
    </r>
  </si>
  <si>
    <t>© 2019 - 2026, TIKR Inc.</t>
  </si>
  <si>
    <t>Terms</t>
  </si>
  <si>
    <t>Privacy</t>
  </si>
  <si>
    <t>5/31/16</t>
  </si>
  <si>
    <t>Balance Sheet | TIKR.com</t>
  </si>
  <si>
    <t>Cash And Equivalents </t>
  </si>
  <si>
    <t>Short Term Investments</t>
  </si>
  <si>
    <t>Trading Asset Securities</t>
  </si>
  <si>
    <t>Total Cash And Short Term Investments</t>
  </si>
  <si>
    <t>Accounts Receivable </t>
  </si>
  <si>
    <t>Other Receivables</t>
  </si>
  <si>
    <t>Notes Receivable </t>
  </si>
  <si>
    <t>Total Receivables </t>
  </si>
  <si>
    <t>Inventory</t>
  </si>
  <si>
    <t>Prepaid Expenses </t>
  </si>
  <si>
    <t>Deferred Tax Assets Current </t>
  </si>
  <si>
    <t>Other Current Assets</t>
  </si>
  <si>
    <t>Total Current Assets</t>
  </si>
  <si>
    <t>Gross Property Plant And Equipment </t>
  </si>
  <si>
    <t>Accumulated Depreciation </t>
  </si>
  <si>
    <t>Net Property Plant And Equipment</t>
  </si>
  <si>
    <t>Long-term Investments</t>
  </si>
  <si>
    <t>Goodwill </t>
  </si>
  <si>
    <t>Other Intangibles </t>
  </si>
  <si>
    <t>Deferred Tax Assets Long-Term</t>
  </si>
  <si>
    <t>Other Long-Term Assets</t>
  </si>
  <si>
    <t>Total Assets</t>
  </si>
  <si>
    <t>Accounts Payable </t>
  </si>
  <si>
    <t>Accrued Expenses </t>
  </si>
  <si>
    <t>Short-term Borrowings</t>
  </si>
  <si>
    <t>Current Portion of Long-Term Debt </t>
  </si>
  <si>
    <t>Current Portion of Capital Lease Obligations</t>
  </si>
  <si>
    <t>Current Income Taxes Payable</t>
  </si>
  <si>
    <t>Other Current Liabilities</t>
  </si>
  <si>
    <t>Total Current Liabilities</t>
  </si>
  <si>
    <t>Long-Term Debt</t>
  </si>
  <si>
    <t>Capital Leases</t>
  </si>
  <si>
    <t>Pension &amp; Other Post Retirement Benefits</t>
  </si>
  <si>
    <t>Deferred Tax Liability Non Current</t>
  </si>
  <si>
    <t>Other Non Current Liabilities</t>
  </si>
  <si>
    <t>Total Liabilities</t>
  </si>
  <si>
    <t>Preferred Stock Redeemable</t>
  </si>
  <si>
    <t>Total Preferred Equity</t>
  </si>
  <si>
    <t>Common Stock </t>
  </si>
  <si>
    <t>Additional Paid In Capital </t>
  </si>
  <si>
    <t>Retained Earnings </t>
  </si>
  <si>
    <t>Comprehensive Income and Other</t>
  </si>
  <si>
    <t>Total Common Equity</t>
  </si>
  <si>
    <t>Total Equity</t>
  </si>
  <si>
    <t>Total Liabilities And Equity</t>
  </si>
  <si>
    <t>Total Shares Out. on Filing Date</t>
  </si>
  <si>
    <t>Book Value / Share</t>
  </si>
  <si>
    <t>Tangible Book Value </t>
  </si>
  <si>
    <t>Tangible Book Value / Share</t>
  </si>
  <si>
    <t>Total Debt</t>
  </si>
  <si>
    <t>Net Debt </t>
  </si>
  <si>
    <t>Land</t>
  </si>
  <si>
    <t>Buildings</t>
  </si>
  <si>
    <t>Construction In Progress</t>
  </si>
  <si>
    <t>Full Time Employees</t>
  </si>
  <si>
    <t>Cash Flow Statement | TIKR.com</t>
  </si>
  <si>
    <t>Total Depreciation &amp; Amortization</t>
  </si>
  <si>
    <t>(Gain) Loss From Sale Of Asset</t>
  </si>
  <si>
    <t>(Gain) Loss on Sale of Investments</t>
  </si>
  <si>
    <t>Asset Writedown &amp; Restructuring Costs</t>
  </si>
  <si>
    <t>Stock-Based Compensation</t>
  </si>
  <si>
    <t>Tax Benefit from Stock Options</t>
  </si>
  <si>
    <t>Net Cash From Discontinued Operations</t>
  </si>
  <si>
    <t>Other Operating Activities</t>
  </si>
  <si>
    <t>Change In Accounts Receivable</t>
  </si>
  <si>
    <t>Change In Inventories</t>
  </si>
  <si>
    <t>Change In Accounts Payable</t>
  </si>
  <si>
    <t>Change in Other Net Operating Assets</t>
  </si>
  <si>
    <t>Cash from Operations</t>
  </si>
  <si>
    <t>Memo: Change in Net Working Capital</t>
  </si>
  <si>
    <t>Capital Expenditure </t>
  </si>
  <si>
    <t>Sale of Property, Plant, and Equipment </t>
  </si>
  <si>
    <t>Cash Acquisitions </t>
  </si>
  <si>
    <t>Divestitures </t>
  </si>
  <si>
    <t>Investment in Marketable and Equity Securities</t>
  </si>
  <si>
    <t>Other Investing Activities</t>
  </si>
  <si>
    <t>Cash from Investing</t>
  </si>
  <si>
    <t>Total Debt Issued</t>
  </si>
  <si>
    <t>Total Debt Repaid</t>
  </si>
  <si>
    <t>Issuance of Common Stock</t>
  </si>
  <si>
    <t>Repurchase of Common Stock</t>
  </si>
  <si>
    <t>Common Dividends Paid </t>
  </si>
  <si>
    <t>Common &amp; Preferred Stock Dividends Paid</t>
  </si>
  <si>
    <t>Other Financing Activities</t>
  </si>
  <si>
    <t>Cash from Financing</t>
  </si>
  <si>
    <t>Foreign Exchange Rate Adjustments </t>
  </si>
  <si>
    <t>Net Change in Cash </t>
  </si>
  <si>
    <t>Free Cash Flow </t>
  </si>
  <si>
    <t>   % Free Cash Flow Margins</t>
  </si>
  <si>
    <t>Cash and Cash Equivalents, Beginning of Period</t>
  </si>
  <si>
    <t>Cash and Cash Equivalents, End of Period</t>
  </si>
  <si>
    <t>Cash Interest Paid</t>
  </si>
  <si>
    <t>Cash Taxes Paid</t>
  </si>
  <si>
    <t>Cash Flow per Share</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</si>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</sst>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Red]&quot;$&quot;\-#,##0.00"/>
    <numFmt numFmtId="164" formatCode="0.0"/>
    <numFmt numFmtId="165" formatCode="_-[$€-2]\ * #,##0_-;\-[$€-2]\ * #,##0_-;_-[$€-2]\ * &quot;-&quot;??_-;_-@_-"/>
    <numFmt numFmtId="166" formatCode="#,##0.0"/>
    <numFmt numFmtId="167" formatCode="#,##0;[Red]\(#,##0\)"/>
    <numFmt numFmtId="168" formatCode="#,##0.00;[Red]\(#,##0.00\)"/>
    <numFmt numFmtId="169" formatCode="0.0%"/>
    <numFmt numFmtId="170" formatCode="#,##0.0;\(#,##0.0\)"/>
    <numFmt numFmtId="171" formatCode="#,##0;\(#,##0\)"/>
  </numFmts>
  <fonts count="43"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b/>
      <sz val="9"/>
      <color rgb="FF000000"/>
      <name val="Tahoma"/>
      <family val="2"/>
    </font>
    <font>
      <i/>
      <sz val="12"/>
      <color theme="3"/>
      <name val="Ebrima"/>
    </font>
    <font>
      <b/>
      <sz val="14"/>
      <color theme="3"/>
      <name val="Ebrima"/>
    </font>
    <font>
      <b/>
      <sz val="14"/>
      <color theme="9" tint="-0.249977111117893"/>
      <name val="Ebrima"/>
    </font>
    <font>
      <b/>
      <i/>
      <sz val="12"/>
      <color theme="3"/>
      <name val="Ebrima"/>
    </font>
    <font>
      <b/>
      <sz val="11"/>
      <color theme="1"/>
      <name val="Calibri"/>
      <family val="2"/>
      <scheme val="minor"/>
    </font>
    <font>
      <sz val="12"/>
      <color rgb="FFFF0000"/>
      <name val="Ebrima"/>
    </font>
    <font>
      <b/>
      <sz val="16"/>
      <color theme="0"/>
      <name val="Ebrima"/>
    </font>
    <font>
      <b/>
      <sz val="12"/>
      <color theme="9" tint="-0.24994659260841701"/>
      <name val="Ebrima"/>
    </font>
    <font>
      <b/>
      <sz val="14"/>
      <color rgb="FFFFFFFF"/>
      <name val="Calibri"/>
      <family val="2"/>
      <scheme val="minor"/>
    </font>
    <font>
      <sz val="14"/>
      <color theme="1"/>
      <name val="Calibri"/>
      <family val="2"/>
      <scheme val="minor"/>
    </font>
    <font>
      <sz val="14"/>
      <color rgb="FFCFD2D6"/>
      <name val="Calibri"/>
      <family val="2"/>
      <scheme val="minor"/>
    </font>
    <font>
      <b/>
      <sz val="14"/>
      <color theme="1"/>
      <name val="Calibri"/>
      <family val="2"/>
      <scheme val="minor"/>
    </font>
    <font>
      <b/>
      <sz val="14"/>
      <color rgb="FFCFD2D6"/>
      <name val="Calibri"/>
      <family val="2"/>
      <scheme val="minor"/>
    </font>
    <font>
      <b/>
      <i/>
      <sz val="14"/>
      <color theme="1"/>
      <name val="Calibri"/>
      <family val="2"/>
      <scheme val="minor"/>
    </font>
    <font>
      <b/>
      <i/>
      <sz val="14"/>
      <color rgb="FFCFD2D6"/>
      <name val="Calibri"/>
      <family val="2"/>
      <scheme val="minor"/>
    </font>
    <font>
      <b/>
      <i/>
      <sz val="14"/>
      <color rgb="FFF44336"/>
      <name val="Calibri"/>
      <family val="2"/>
      <scheme val="minor"/>
    </font>
    <font>
      <sz val="14"/>
      <color rgb="FFF44336"/>
      <name val="Calibri"/>
      <family val="2"/>
      <scheme val="minor"/>
    </font>
    <font>
      <sz val="14"/>
      <color rgb="FF000000"/>
      <name val="Calibri"/>
      <family val="2"/>
      <scheme val="minor"/>
    </font>
    <font>
      <b/>
      <sz val="14"/>
      <color rgb="FFF44336"/>
      <name val="Calibri"/>
      <family val="2"/>
      <scheme val="minor"/>
    </font>
    <font>
      <i/>
      <sz val="14"/>
      <color theme="1"/>
      <name val="Calibri"/>
      <family val="2"/>
      <scheme val="minor"/>
    </font>
    <font>
      <i/>
      <sz val="14"/>
      <color rgb="FFCFD2D6"/>
      <name val="Calibri"/>
      <family val="2"/>
      <scheme val="minor"/>
    </font>
    <font>
      <i/>
      <sz val="14"/>
      <color rgb="FFF44336"/>
      <name val="Calibri"/>
      <family val="2"/>
      <scheme val="minor"/>
    </font>
    <font>
      <sz val="12"/>
      <color rgb="FFCFD2D6"/>
      <name val="Calibri"/>
      <family val="2"/>
      <scheme val="minor"/>
    </font>
    <font>
      <b/>
      <sz val="12"/>
      <color rgb="FFCFD2D6"/>
      <name val="Calibri"/>
      <family val="2"/>
      <scheme val="minor"/>
    </font>
    <font>
      <u/>
      <sz val="11"/>
      <color theme="10"/>
      <name val="Calibri"/>
      <family val="2"/>
      <scheme val="minor"/>
    </font>
    <font>
      <b/>
      <sz val="14"/>
      <color rgb="FF000000"/>
      <name val="Calibri"/>
      <family val="2"/>
      <scheme val="minor"/>
    </font>
    <font>
      <sz val="8"/>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45">
    <border>
      <left/>
      <right/>
      <top/>
      <bottom/>
      <diagonal/>
    </border>
    <border>
      <left/>
      <right/>
      <top style="thin">
        <color theme="4"/>
      </top>
      <bottom/>
      <diagonal/>
    </border>
    <border>
      <left style="thin">
        <color theme="3" tint="0.39997558519241921"/>
      </left>
      <right/>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style="thin">
        <color theme="4"/>
      </right>
      <top/>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thin">
        <color theme="3"/>
      </left>
      <right style="thin">
        <color theme="3"/>
      </right>
      <top style="thin">
        <color theme="4"/>
      </top>
      <bottom style="thin">
        <color theme="4"/>
      </bottom>
      <diagonal/>
    </border>
    <border>
      <left style="thin">
        <color theme="3"/>
      </left>
      <right/>
      <top style="thin">
        <color theme="4"/>
      </top>
      <bottom style="thin">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8"/>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ck">
        <color theme="9" tint="-0.24994659260841701"/>
      </left>
      <right/>
      <top/>
      <bottom/>
      <diagonal/>
    </border>
    <border>
      <left style="thick">
        <color theme="9" tint="-0.24994659260841701"/>
      </left>
      <right style="thick">
        <color theme="9" tint="-0.24994659260841701"/>
      </right>
      <top style="thick">
        <color theme="9" tint="-0.24994659260841701"/>
      </top>
      <bottom/>
      <diagonal/>
    </border>
    <border>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theme="4"/>
      </left>
      <right/>
      <top style="thin">
        <color theme="4"/>
      </top>
      <bottom style="thin">
        <color theme="4"/>
      </bottom>
      <diagonal/>
    </border>
    <border>
      <left/>
      <right/>
      <top style="thin">
        <color theme="3"/>
      </top>
      <bottom style="thin">
        <color theme="3"/>
      </bottom>
      <diagonal/>
    </border>
  </borders>
  <cellStyleXfs count="3">
    <xf numFmtId="0" fontId="0" fillId="0" borderId="0"/>
    <xf numFmtId="9" fontId="1" fillId="0" borderId="0" applyFont="0" applyFill="0" applyBorder="0" applyAlignment="0" applyProtection="0"/>
    <xf numFmtId="0" fontId="40" fillId="0" borderId="0" applyNumberFormat="0" applyFill="0" applyBorder="0" applyAlignment="0" applyProtection="0"/>
  </cellStyleXfs>
  <cellXfs count="320">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6" fillId="5" borderId="0" xfId="0" applyFont="1" applyFill="1" applyAlignment="1">
      <alignment horizontal="center" vertical="center"/>
    </xf>
    <xf numFmtId="3" fontId="7" fillId="2" borderId="0" xfId="0" applyNumberFormat="1" applyFont="1" applyFill="1" applyAlignment="1">
      <alignment horizontal="center" vertical="center"/>
    </xf>
    <xf numFmtId="9" fontId="8" fillId="2" borderId="0" xfId="1" applyFont="1" applyFill="1" applyBorder="1" applyAlignment="1">
      <alignment horizontal="center" vertical="center"/>
    </xf>
    <xf numFmtId="3" fontId="8" fillId="2" borderId="0" xfId="0" applyNumberFormat="1" applyFont="1" applyFill="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4" fontId="8" fillId="0" borderId="0" xfId="0" applyNumberFormat="1" applyFont="1" applyAlignment="1">
      <alignment horizontal="center" vertical="center"/>
    </xf>
    <xf numFmtId="3" fontId="8" fillId="6" borderId="0" xfId="0" applyNumberFormat="1"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indent="1"/>
    </xf>
    <xf numFmtId="0" fontId="0" fillId="0" borderId="0" xfId="0" applyAlignment="1">
      <alignment horizontal="left" indent="1"/>
    </xf>
    <xf numFmtId="0" fontId="5" fillId="0" borderId="0" xfId="0" applyFont="1" applyAlignment="1">
      <alignment horizontal="left" indent="1"/>
    </xf>
    <xf numFmtId="0" fontId="5" fillId="2" borderId="0" xfId="0" applyFont="1" applyFill="1" applyAlignment="1">
      <alignment horizontal="center"/>
    </xf>
    <xf numFmtId="9" fontId="8" fillId="0" borderId="0" xfId="1" applyFont="1" applyBorder="1" applyAlignment="1">
      <alignment horizontal="center" vertical="center"/>
    </xf>
    <xf numFmtId="0" fontId="8" fillId="2" borderId="3" xfId="0" applyFont="1" applyFill="1" applyBorder="1" applyAlignment="1">
      <alignment horizontal="left" vertical="center" indent="1"/>
    </xf>
    <xf numFmtId="0" fontId="5" fillId="0" borderId="0" xfId="0" applyFont="1" applyAlignment="1">
      <alignment horizontal="left" vertical="center"/>
    </xf>
    <xf numFmtId="0" fontId="5" fillId="0" borderId="0" xfId="0" applyFont="1" applyAlignment="1">
      <alignment horizontal="left" vertical="center" indent="1"/>
    </xf>
    <xf numFmtId="3" fontId="8" fillId="2" borderId="0" xfId="1" applyNumberFormat="1" applyFont="1" applyFill="1" applyBorder="1" applyAlignment="1">
      <alignment horizontal="center" vertical="center"/>
    </xf>
    <xf numFmtId="0" fontId="5" fillId="2" borderId="0" xfId="0" applyFont="1" applyFill="1" applyAlignment="1">
      <alignment vertical="center"/>
    </xf>
    <xf numFmtId="2" fontId="12" fillId="2" borderId="0" xfId="0" applyNumberFormat="1" applyFont="1" applyFill="1" applyAlignment="1">
      <alignment vertical="center"/>
    </xf>
    <xf numFmtId="0" fontId="5" fillId="2" borderId="0" xfId="0" applyFont="1" applyFill="1" applyAlignment="1">
      <alignment horizontal="center" vertical="center" wrapText="1"/>
    </xf>
    <xf numFmtId="0" fontId="10" fillId="2" borderId="0" xfId="0" applyFont="1" applyFill="1" applyAlignment="1">
      <alignment vertical="center"/>
    </xf>
    <xf numFmtId="1" fontId="12" fillId="2" borderId="0" xfId="0" applyNumberFormat="1" applyFont="1" applyFill="1" applyAlignment="1">
      <alignment horizontal="center" vertical="center"/>
    </xf>
    <xf numFmtId="0" fontId="5" fillId="2" borderId="0" xfId="0" applyFont="1" applyFill="1" applyAlignment="1">
      <alignment horizontal="left" vertical="center"/>
    </xf>
    <xf numFmtId="2" fontId="10" fillId="2" borderId="0" xfId="0" applyNumberFormat="1" applyFont="1" applyFill="1" applyAlignment="1">
      <alignment horizontal="center" vertical="center" wrapText="1"/>
    </xf>
    <xf numFmtId="0" fontId="10" fillId="2" borderId="0" xfId="0" applyFont="1" applyFill="1" applyAlignment="1">
      <alignment horizontal="left" vertical="center"/>
    </xf>
    <xf numFmtId="1" fontId="10" fillId="2"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6" fillId="4" borderId="1" xfId="0" applyFont="1" applyFill="1" applyBorder="1" applyAlignment="1">
      <alignment horizontal="left" vertical="center"/>
    </xf>
    <xf numFmtId="0" fontId="6" fillId="4" borderId="0" xfId="0" applyFont="1" applyFill="1" applyAlignment="1">
      <alignment horizontal="left" vertical="center"/>
    </xf>
    <xf numFmtId="2" fontId="8" fillId="2" borderId="0" xfId="0" applyNumberFormat="1" applyFont="1" applyFill="1" applyAlignment="1">
      <alignment horizontal="left" vertical="center" indent="2"/>
    </xf>
    <xf numFmtId="1" fontId="8" fillId="2" borderId="0" xfId="0" applyNumberFormat="1" applyFont="1" applyFill="1" applyAlignment="1">
      <alignment horizontal="left" vertical="center"/>
    </xf>
    <xf numFmtId="1" fontId="7" fillId="2" borderId="0" xfId="0" applyNumberFormat="1" applyFont="1" applyFill="1" applyAlignment="1">
      <alignment horizontal="left" vertical="center"/>
    </xf>
    <xf numFmtId="2" fontId="8" fillId="2" borderId="0" xfId="0" applyNumberFormat="1" applyFont="1" applyFill="1" applyAlignment="1">
      <alignment horizontal="left" vertical="center" wrapText="1"/>
    </xf>
    <xf numFmtId="2" fontId="7" fillId="2" borderId="0" xfId="0" applyNumberFormat="1" applyFont="1" applyFill="1" applyAlignment="1">
      <alignment horizontal="left" vertical="center" wrapText="1"/>
    </xf>
    <xf numFmtId="9" fontId="8" fillId="2" borderId="0" xfId="1" applyFont="1" applyFill="1" applyBorder="1" applyAlignment="1">
      <alignment horizontal="left" vertical="center" wrapText="1"/>
    </xf>
    <xf numFmtId="0" fontId="8" fillId="2" borderId="0" xfId="0" applyFont="1" applyFill="1" applyAlignment="1">
      <alignment horizontal="left" vertical="center" wrapText="1"/>
    </xf>
    <xf numFmtId="9" fontId="7" fillId="2" borderId="0" xfId="1" applyFont="1" applyFill="1" applyBorder="1" applyAlignment="1">
      <alignment horizontal="left" vertical="center" wrapText="1"/>
    </xf>
    <xf numFmtId="2" fontId="7" fillId="2" borderId="0" xfId="0" applyNumberFormat="1"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5" fillId="2" borderId="0" xfId="0" applyFont="1" applyFill="1" applyAlignment="1">
      <alignment horizontal="left" vertical="center" indent="1"/>
    </xf>
    <xf numFmtId="0" fontId="8" fillId="0" borderId="0" xfId="0" quotePrefix="1" applyFont="1" applyAlignment="1">
      <alignment horizontal="left" indent="1"/>
    </xf>
    <xf numFmtId="9" fontId="8" fillId="0" borderId="4" xfId="1" applyFont="1" applyFill="1" applyBorder="1" applyAlignment="1">
      <alignment horizontal="center" vertical="center"/>
    </xf>
    <xf numFmtId="0" fontId="6" fillId="4" borderId="0" xfId="0" applyFont="1" applyFill="1" applyAlignment="1">
      <alignment horizontal="center" vertical="center"/>
    </xf>
    <xf numFmtId="3" fontId="7" fillId="6" borderId="0" xfId="0" applyNumberFormat="1" applyFont="1" applyFill="1" applyAlignment="1">
      <alignment horizontal="center" vertical="center"/>
    </xf>
    <xf numFmtId="9" fontId="14" fillId="7" borderId="0" xfId="1" applyFont="1" applyFill="1" applyBorder="1" applyAlignment="1">
      <alignment horizontal="center" vertical="center"/>
    </xf>
    <xf numFmtId="0" fontId="6" fillId="4" borderId="8" xfId="0" applyFont="1" applyFill="1" applyBorder="1" applyAlignment="1">
      <alignment horizontal="left" vertical="center" indent="1"/>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8" fillId="0" borderId="6" xfId="0" applyFont="1" applyBorder="1" applyAlignment="1">
      <alignment horizontal="left" vertical="center" indent="1"/>
    </xf>
    <xf numFmtId="9" fontId="8" fillId="0" borderId="0" xfId="1" applyFont="1" applyFill="1" applyBorder="1" applyAlignment="1">
      <alignment horizontal="center" vertical="center"/>
    </xf>
    <xf numFmtId="0" fontId="6" fillId="5" borderId="10" xfId="0" applyFont="1" applyFill="1" applyBorder="1" applyAlignment="1">
      <alignment horizontal="center" vertical="center" wrapText="1"/>
    </xf>
    <xf numFmtId="0" fontId="14" fillId="6" borderId="11" xfId="0" applyFont="1" applyFill="1" applyBorder="1" applyAlignment="1">
      <alignment vertical="center"/>
    </xf>
    <xf numFmtId="0" fontId="14" fillId="3" borderId="11" xfId="0" applyFont="1" applyFill="1" applyBorder="1" applyAlignment="1">
      <alignment vertical="center"/>
    </xf>
    <xf numFmtId="0" fontId="14" fillId="3" borderId="12" xfId="0" applyFont="1" applyFill="1" applyBorder="1" applyAlignment="1">
      <alignment vertical="center"/>
    </xf>
    <xf numFmtId="0" fontId="8" fillId="2" borderId="0" xfId="0" applyFont="1" applyFill="1" applyAlignment="1">
      <alignment horizontal="left" vertical="center" indent="1"/>
    </xf>
    <xf numFmtId="4" fontId="8" fillId="0" borderId="0" xfId="1" applyNumberFormat="1" applyFont="1" applyBorder="1" applyAlignment="1">
      <alignment horizontal="center" vertical="center"/>
    </xf>
    <xf numFmtId="0" fontId="6" fillId="0" borderId="0" xfId="0" applyFont="1" applyAlignment="1">
      <alignment horizontal="center" vertical="center" wrapText="1"/>
    </xf>
    <xf numFmtId="164" fontId="5" fillId="0" borderId="0" xfId="0" applyNumberFormat="1" applyFont="1" applyAlignment="1">
      <alignment horizontal="center" vertical="center"/>
    </xf>
    <xf numFmtId="164" fontId="10" fillId="0" borderId="0" xfId="0" applyNumberFormat="1" applyFont="1" applyAlignment="1">
      <alignment horizontal="center" vertical="center"/>
    </xf>
    <xf numFmtId="166" fontId="8" fillId="2" borderId="0" xfId="1" applyNumberFormat="1" applyFont="1" applyFill="1" applyBorder="1" applyAlignment="1">
      <alignment horizontal="center" vertical="center"/>
    </xf>
    <xf numFmtId="0" fontId="7" fillId="0" borderId="0" xfId="0" applyFont="1" applyAlignment="1">
      <alignment horizontal="left" vertical="center" indent="1"/>
    </xf>
    <xf numFmtId="4" fontId="0" fillId="0" borderId="0" xfId="0" applyNumberFormat="1" applyAlignment="1">
      <alignment horizontal="center"/>
    </xf>
    <xf numFmtId="0" fontId="20" fillId="0" borderId="0" xfId="0" applyFont="1"/>
    <xf numFmtId="0" fontId="20" fillId="0" borderId="0" xfId="0" applyFont="1" applyAlignment="1">
      <alignment horizontal="center"/>
    </xf>
    <xf numFmtId="14" fontId="20" fillId="0" borderId="0" xfId="0" applyNumberFormat="1" applyFont="1" applyAlignment="1">
      <alignment horizontal="center"/>
    </xf>
    <xf numFmtId="0" fontId="20" fillId="8" borderId="0" xfId="0" applyFont="1" applyFill="1"/>
    <xf numFmtId="0" fontId="20" fillId="0" borderId="0" xfId="0" applyFont="1" applyAlignment="1" applyProtection="1">
      <alignment horizontal="center"/>
      <protection locked="0"/>
    </xf>
    <xf numFmtId="14" fontId="20"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7" fillId="2" borderId="0" xfId="0" applyNumberFormat="1" applyFont="1" applyFill="1" applyAlignment="1">
      <alignment horizontal="center" vertical="center"/>
    </xf>
    <xf numFmtId="167" fontId="8" fillId="6"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7" fontId="7" fillId="6" borderId="0" xfId="0" applyNumberFormat="1" applyFont="1" applyFill="1" applyAlignment="1">
      <alignment horizontal="center" vertical="center"/>
    </xf>
    <xf numFmtId="167" fontId="8" fillId="0" borderId="0" xfId="0" applyNumberFormat="1" applyFont="1" applyAlignment="1">
      <alignment horizontal="center" vertical="center"/>
    </xf>
    <xf numFmtId="167" fontId="7" fillId="0" borderId="0" xfId="0" applyNumberFormat="1" applyFont="1" applyAlignment="1">
      <alignment horizontal="center" vertical="center"/>
    </xf>
    <xf numFmtId="167" fontId="8" fillId="2" borderId="0" xfId="1" applyNumberFormat="1" applyFont="1" applyFill="1" applyBorder="1" applyAlignment="1">
      <alignment horizontal="center" vertical="center"/>
    </xf>
    <xf numFmtId="168" fontId="8" fillId="2" borderId="0" xfId="1" applyNumberFormat="1" applyFont="1" applyFill="1" applyBorder="1" applyAlignment="1">
      <alignment horizontal="center" vertical="center"/>
    </xf>
    <xf numFmtId="168" fontId="8" fillId="2" borderId="7" xfId="1" applyNumberFormat="1" applyFont="1" applyFill="1" applyBorder="1" applyAlignment="1">
      <alignment horizontal="center" vertical="center"/>
    </xf>
    <xf numFmtId="168" fontId="8" fillId="2" borderId="4" xfId="1" applyNumberFormat="1" applyFont="1" applyFill="1" applyBorder="1" applyAlignment="1">
      <alignment horizontal="center" vertical="center"/>
    </xf>
    <xf numFmtId="167" fontId="8" fillId="2" borderId="2" xfId="0" applyNumberFormat="1" applyFont="1" applyFill="1" applyBorder="1" applyAlignment="1">
      <alignment horizontal="center" vertical="center"/>
    </xf>
    <xf numFmtId="167" fontId="8" fillId="2" borderId="3" xfId="1" applyNumberFormat="1" applyFont="1" applyFill="1" applyBorder="1" applyAlignment="1">
      <alignment horizontal="center" vertical="center"/>
    </xf>
    <xf numFmtId="167" fontId="8" fillId="2" borderId="5" xfId="1" applyNumberFormat="1" applyFont="1" applyFill="1" applyBorder="1" applyAlignment="1">
      <alignment horizontal="center" vertical="center"/>
    </xf>
    <xf numFmtId="0" fontId="6" fillId="5" borderId="0" xfId="0" applyFont="1" applyFill="1" applyAlignment="1">
      <alignment horizontal="center" vertical="center" wrapText="1"/>
    </xf>
    <xf numFmtId="164" fontId="8" fillId="0" borderId="0" xfId="1" applyNumberFormat="1" applyFont="1" applyBorder="1" applyAlignment="1">
      <alignment horizontal="center" vertical="center"/>
    </xf>
    <xf numFmtId="0" fontId="8" fillId="0" borderId="0" xfId="0" quotePrefix="1" applyFont="1" applyAlignment="1">
      <alignment horizontal="left" vertical="center" indent="1"/>
    </xf>
    <xf numFmtId="0" fontId="8" fillId="0" borderId="0" xfId="0" quotePrefix="1" applyFont="1" applyAlignment="1">
      <alignment horizontal="left" vertical="center" indent="3"/>
    </xf>
    <xf numFmtId="9" fontId="7" fillId="2"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0" fontId="6" fillId="4" borderId="0" xfId="0" applyFont="1" applyFill="1" applyAlignment="1">
      <alignment horizontal="left" vertical="center" indent="1"/>
    </xf>
    <xf numFmtId="0" fontId="8" fillId="6" borderId="6" xfId="0" applyFont="1" applyFill="1" applyBorder="1" applyAlignment="1">
      <alignment horizontal="left" vertical="center" indent="3"/>
    </xf>
    <xf numFmtId="3" fontId="7" fillId="6" borderId="4" xfId="0" applyNumberFormat="1" applyFont="1" applyFill="1" applyBorder="1" applyAlignment="1">
      <alignment horizontal="center" vertical="center"/>
    </xf>
    <xf numFmtId="9" fontId="8" fillId="2" borderId="4" xfId="1" applyFont="1" applyFill="1" applyBorder="1" applyAlignment="1">
      <alignment horizontal="center" vertical="center"/>
    </xf>
    <xf numFmtId="167" fontId="7" fillId="2" borderId="4" xfId="0" applyNumberFormat="1" applyFont="1" applyFill="1" applyBorder="1" applyAlignment="1">
      <alignment horizontal="center" vertical="center"/>
    </xf>
    <xf numFmtId="167" fontId="8" fillId="6" borderId="4" xfId="0" applyNumberFormat="1" applyFont="1" applyFill="1" applyBorder="1" applyAlignment="1">
      <alignment horizontal="center" vertical="center"/>
    </xf>
    <xf numFmtId="167" fontId="7" fillId="6" borderId="4" xfId="0" applyNumberFormat="1" applyFont="1" applyFill="1" applyBorder="1" applyAlignment="1">
      <alignment horizontal="center" vertical="center"/>
    </xf>
    <xf numFmtId="167" fontId="8" fillId="2"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7" fillId="6" borderId="0" xfId="0" applyFont="1" applyFill="1" applyAlignment="1">
      <alignment horizontal="left" vertical="center" indent="1"/>
    </xf>
    <xf numFmtId="3" fontId="7" fillId="2" borderId="7" xfId="0" applyNumberFormat="1" applyFont="1" applyFill="1" applyBorder="1" applyAlignment="1">
      <alignment horizontal="center" vertical="center"/>
    </xf>
    <xf numFmtId="9" fontId="8" fillId="2" borderId="7" xfId="1" applyFont="1" applyFill="1" applyBorder="1" applyAlignment="1">
      <alignment horizontal="center" vertical="center"/>
    </xf>
    <xf numFmtId="0" fontId="7" fillId="2" borderId="0" xfId="0" applyFont="1" applyFill="1" applyAlignment="1">
      <alignment horizontal="left" vertical="center" indent="1"/>
    </xf>
    <xf numFmtId="167" fontId="7" fillId="2" borderId="7" xfId="0" applyNumberFormat="1" applyFont="1" applyFill="1" applyBorder="1" applyAlignment="1">
      <alignment horizontal="center" vertical="center"/>
    </xf>
    <xf numFmtId="0" fontId="8" fillId="6" borderId="0" xfId="0" applyFont="1" applyFill="1" applyAlignment="1">
      <alignment horizontal="left" vertical="center" indent="1"/>
    </xf>
    <xf numFmtId="167" fontId="8" fillId="2" borderId="7" xfId="0" applyNumberFormat="1" applyFont="1" applyFill="1" applyBorder="1" applyAlignment="1">
      <alignment horizontal="center" vertical="center"/>
    </xf>
    <xf numFmtId="3" fontId="8" fillId="2" borderId="7" xfId="0" applyNumberFormat="1" applyFont="1" applyFill="1" applyBorder="1" applyAlignment="1">
      <alignment horizontal="center" vertical="center"/>
    </xf>
    <xf numFmtId="9" fontId="8" fillId="2" borderId="5" xfId="1" applyFont="1" applyFill="1" applyBorder="1" applyAlignment="1">
      <alignment horizontal="center" vertical="center"/>
    </xf>
    <xf numFmtId="9" fontId="8" fillId="2" borderId="3" xfId="1" applyFont="1" applyFill="1" applyBorder="1" applyAlignment="1">
      <alignment horizontal="center" vertical="center"/>
    </xf>
    <xf numFmtId="167" fontId="8" fillId="0" borderId="4" xfId="0" applyNumberFormat="1" applyFont="1" applyBorder="1" applyAlignment="1">
      <alignment horizontal="center" vertical="center"/>
    </xf>
    <xf numFmtId="167" fontId="7" fillId="0" borderId="4" xfId="0" applyNumberFormat="1" applyFont="1" applyBorder="1" applyAlignment="1">
      <alignment horizontal="center" vertical="center"/>
    </xf>
    <xf numFmtId="9" fontId="8" fillId="0" borderId="4" xfId="1" applyFont="1" applyBorder="1" applyAlignment="1">
      <alignment horizontal="center" vertical="center"/>
    </xf>
    <xf numFmtId="3" fontId="8" fillId="0" borderId="4" xfId="0" applyNumberFormat="1" applyFont="1" applyBorder="1" applyAlignment="1">
      <alignment horizontal="center" vertical="center"/>
    </xf>
    <xf numFmtId="167" fontId="8" fillId="0" borderId="7" xfId="0" applyNumberFormat="1" applyFont="1" applyBorder="1" applyAlignment="1">
      <alignment horizontal="center" vertical="center"/>
    </xf>
    <xf numFmtId="0" fontId="8" fillId="6" borderId="0" xfId="0" applyFont="1" applyFill="1" applyAlignment="1">
      <alignment horizontal="left" vertical="center" indent="4"/>
    </xf>
    <xf numFmtId="167" fontId="7" fillId="0" borderId="7" xfId="0" applyNumberFormat="1" applyFont="1" applyBorder="1" applyAlignment="1">
      <alignment horizontal="center" vertical="center"/>
    </xf>
    <xf numFmtId="0" fontId="8" fillId="2" borderId="0" xfId="0" applyFont="1" applyFill="1" applyAlignment="1">
      <alignment horizontal="left" vertical="center" indent="3"/>
    </xf>
    <xf numFmtId="9" fontId="8" fillId="0" borderId="7" xfId="1" applyFont="1" applyBorder="1" applyAlignment="1">
      <alignment horizontal="center" vertical="center"/>
    </xf>
    <xf numFmtId="167" fontId="7" fillId="2" borderId="5" xfId="1" applyNumberFormat="1" applyFont="1" applyFill="1" applyBorder="1" applyAlignment="1">
      <alignment horizontal="center" vertical="center"/>
    </xf>
    <xf numFmtId="167" fontId="7" fillId="2" borderId="3" xfId="1" applyNumberFormat="1" applyFont="1" applyFill="1" applyBorder="1" applyAlignment="1">
      <alignment horizontal="center" vertical="center"/>
    </xf>
    <xf numFmtId="9" fontId="7" fillId="0" borderId="16" xfId="1" applyFont="1" applyBorder="1" applyAlignment="1">
      <alignment horizontal="center" vertical="center"/>
    </xf>
    <xf numFmtId="9" fontId="7" fillId="2" borderId="17" xfId="1" applyFont="1" applyFill="1" applyBorder="1" applyAlignment="1">
      <alignment horizontal="center" vertical="center"/>
    </xf>
    <xf numFmtId="0" fontId="8" fillId="0" borderId="14" xfId="0" applyFont="1" applyBorder="1" applyAlignment="1">
      <alignment horizontal="left" vertical="center" indent="1"/>
    </xf>
    <xf numFmtId="167" fontId="8" fillId="0" borderId="3" xfId="0" applyNumberFormat="1" applyFont="1" applyBorder="1" applyAlignment="1">
      <alignment horizontal="center" vertical="center"/>
    </xf>
    <xf numFmtId="167" fontId="8" fillId="2" borderId="3" xfId="0" applyNumberFormat="1" applyFont="1" applyFill="1" applyBorder="1" applyAlignment="1">
      <alignment horizontal="center" vertical="center"/>
    </xf>
    <xf numFmtId="167" fontId="8" fillId="2" borderId="15" xfId="0" applyNumberFormat="1" applyFont="1" applyFill="1" applyBorder="1" applyAlignment="1">
      <alignment horizontal="center" vertical="center"/>
    </xf>
    <xf numFmtId="9" fontId="8" fillId="0" borderId="3" xfId="1" applyFont="1" applyBorder="1" applyAlignment="1">
      <alignment horizontal="center" vertical="center"/>
    </xf>
    <xf numFmtId="167" fontId="8" fillId="2" borderId="5" xfId="0" applyNumberFormat="1" applyFont="1" applyFill="1" applyBorder="1" applyAlignment="1">
      <alignment horizontal="center" vertical="center"/>
    </xf>
    <xf numFmtId="167" fontId="8" fillId="0" borderId="5" xfId="0" applyNumberFormat="1" applyFont="1" applyBorder="1" applyAlignment="1">
      <alignment horizontal="center" vertical="center"/>
    </xf>
    <xf numFmtId="9" fontId="8" fillId="0" borderId="5" xfId="1" applyFont="1" applyBorder="1" applyAlignment="1">
      <alignment horizontal="center" vertical="center"/>
    </xf>
    <xf numFmtId="9" fontId="7" fillId="0" borderId="17" xfId="1" applyFont="1" applyBorder="1" applyAlignment="1">
      <alignment horizontal="center" vertical="center"/>
    </xf>
    <xf numFmtId="0" fontId="8" fillId="0" borderId="0" xfId="0" applyFont="1"/>
    <xf numFmtId="0" fontId="6" fillId="4" borderId="0" xfId="0" applyFont="1" applyFill="1" applyAlignment="1">
      <alignment horizontal="center" vertical="center" wrapText="1"/>
    </xf>
    <xf numFmtId="0" fontId="6" fillId="4" borderId="0" xfId="0" applyFont="1" applyFill="1" applyAlignment="1">
      <alignment horizontal="left" vertical="center" wrapText="1" indent="1"/>
    </xf>
    <xf numFmtId="0" fontId="8" fillId="2" borderId="14" xfId="0" applyFont="1" applyFill="1" applyBorder="1" applyAlignment="1">
      <alignment horizontal="left" vertical="center" indent="1"/>
    </xf>
    <xf numFmtId="164" fontId="8" fillId="0" borderId="4" xfId="1" applyNumberFormat="1" applyFont="1" applyBorder="1" applyAlignment="1">
      <alignment horizontal="center" vertical="center"/>
    </xf>
    <xf numFmtId="167" fontId="8" fillId="0" borderId="15" xfId="0" applyNumberFormat="1" applyFont="1" applyBorder="1" applyAlignment="1">
      <alignment horizontal="center" vertical="center"/>
    </xf>
    <xf numFmtId="9" fontId="8" fillId="0" borderId="16" xfId="1" applyFont="1" applyBorder="1" applyAlignment="1">
      <alignment horizontal="center" vertical="center"/>
    </xf>
    <xf numFmtId="0" fontId="8" fillId="2" borderId="6" xfId="0" applyFont="1" applyFill="1" applyBorder="1" applyAlignment="1">
      <alignment horizontal="left" vertical="center" indent="1"/>
    </xf>
    <xf numFmtId="166" fontId="8" fillId="0" borderId="0" xfId="0" applyNumberFormat="1" applyFont="1" applyAlignment="1">
      <alignment horizontal="center" vertical="center"/>
    </xf>
    <xf numFmtId="164" fontId="8" fillId="0" borderId="0" xfId="0" applyNumberFormat="1" applyFont="1" applyAlignment="1">
      <alignment horizontal="center" vertical="center"/>
    </xf>
    <xf numFmtId="0" fontId="7" fillId="2" borderId="21" xfId="0" applyFont="1" applyFill="1" applyBorder="1" applyAlignment="1">
      <alignment horizontal="left" vertical="center" indent="1"/>
    </xf>
    <xf numFmtId="4" fontId="7" fillId="0" borderId="22" xfId="0" applyNumberFormat="1" applyFont="1" applyBorder="1" applyAlignment="1">
      <alignment horizontal="center" vertical="center"/>
    </xf>
    <xf numFmtId="0" fontId="7" fillId="2" borderId="22" xfId="0" applyFont="1" applyFill="1" applyBorder="1" applyAlignment="1">
      <alignment horizontal="left" vertical="center" indent="1"/>
    </xf>
    <xf numFmtId="9" fontId="7" fillId="0" borderId="23" xfId="1" applyFont="1" applyBorder="1" applyAlignment="1">
      <alignment horizontal="center" vertical="center"/>
    </xf>
    <xf numFmtId="9" fontId="0" fillId="0" borderId="0" xfId="1" applyFont="1" applyAlignment="1">
      <alignment horizontal="center"/>
    </xf>
    <xf numFmtId="164" fontId="8" fillId="0" borderId="3" xfId="0" applyNumberFormat="1" applyFont="1" applyBorder="1" applyAlignment="1">
      <alignment horizontal="center" vertical="center"/>
    </xf>
    <xf numFmtId="166" fontId="8" fillId="2" borderId="3" xfId="1" applyNumberFormat="1" applyFont="1" applyFill="1" applyBorder="1" applyAlignment="1">
      <alignment horizontal="center" vertical="center"/>
    </xf>
    <xf numFmtId="0" fontId="16" fillId="8" borderId="3" xfId="0" applyFont="1" applyFill="1" applyBorder="1" applyAlignment="1">
      <alignment horizontal="left" vertical="center" indent="2"/>
    </xf>
    <xf numFmtId="9" fontId="16" fillId="0" borderId="17" xfId="1" applyFont="1" applyBorder="1" applyAlignment="1">
      <alignment horizontal="center" vertical="center"/>
    </xf>
    <xf numFmtId="9" fontId="5" fillId="0" borderId="0" xfId="1" applyFont="1" applyAlignment="1">
      <alignment horizontal="center" vertical="center"/>
    </xf>
    <xf numFmtId="0" fontId="7" fillId="2" borderId="3" xfId="0" applyFont="1" applyFill="1" applyBorder="1" applyAlignment="1">
      <alignment horizontal="left" vertical="center" indent="1"/>
    </xf>
    <xf numFmtId="9" fontId="7" fillId="0" borderId="0" xfId="1" applyFont="1" applyBorder="1" applyAlignment="1">
      <alignment horizontal="center" vertical="center"/>
    </xf>
    <xf numFmtId="0" fontId="7" fillId="0" borderId="14" xfId="0" applyFont="1" applyBorder="1" applyAlignment="1">
      <alignment horizontal="left" vertical="center" indent="1"/>
    </xf>
    <xf numFmtId="167" fontId="5" fillId="0" borderId="0" xfId="0" applyNumberFormat="1" applyFont="1" applyAlignment="1">
      <alignment horizontal="center"/>
    </xf>
    <xf numFmtId="9" fontId="5" fillId="0" borderId="0" xfId="0" applyNumberFormat="1" applyFont="1" applyAlignment="1">
      <alignment horizontal="center"/>
    </xf>
    <xf numFmtId="169" fontId="5" fillId="0" borderId="0" xfId="0" applyNumberFormat="1" applyFont="1" applyAlignment="1">
      <alignment horizontal="center"/>
    </xf>
    <xf numFmtId="0" fontId="0" fillId="0" borderId="13" xfId="0" applyBorder="1"/>
    <xf numFmtId="0" fontId="0" fillId="0" borderId="0" xfId="0" applyAlignment="1">
      <alignment horizontal="left" vertical="center"/>
    </xf>
    <xf numFmtId="0" fontId="7" fillId="2" borderId="0" xfId="0" applyFont="1" applyFill="1" applyAlignment="1">
      <alignment horizontal="left" vertical="center" indent="3"/>
    </xf>
    <xf numFmtId="0" fontId="8" fillId="0" borderId="3" xfId="0" applyFont="1" applyBorder="1" applyAlignment="1">
      <alignment horizontal="left" vertical="center" indent="1"/>
    </xf>
    <xf numFmtId="0" fontId="16" fillId="8" borderId="0" xfId="0" applyFont="1" applyFill="1" applyAlignment="1">
      <alignment horizontal="left" vertical="center" indent="2"/>
    </xf>
    <xf numFmtId="4" fontId="16" fillId="8" borderId="0" xfId="0" applyNumberFormat="1" applyFont="1" applyFill="1" applyAlignment="1">
      <alignment horizontal="center" vertical="center"/>
    </xf>
    <xf numFmtId="9" fontId="16" fillId="8" borderId="3" xfId="1" applyFont="1" applyFill="1" applyBorder="1" applyAlignment="1">
      <alignment horizontal="center" vertical="center"/>
    </xf>
    <xf numFmtId="0" fontId="22" fillId="4" borderId="1" xfId="0" applyFont="1" applyFill="1" applyBorder="1" applyAlignment="1">
      <alignment horizontal="left" vertical="center" indent="1"/>
    </xf>
    <xf numFmtId="2" fontId="8" fillId="6" borderId="0" xfId="0" applyNumberFormat="1" applyFont="1" applyFill="1" applyAlignment="1">
      <alignment horizontal="left" vertical="center" indent="2"/>
    </xf>
    <xf numFmtId="2" fontId="8" fillId="6" borderId="0" xfId="0" applyNumberFormat="1" applyFont="1" applyFill="1" applyAlignment="1">
      <alignment horizontal="left" vertical="center" wrapText="1"/>
    </xf>
    <xf numFmtId="1" fontId="8" fillId="6" borderId="0" xfId="0" applyNumberFormat="1" applyFont="1" applyFill="1" applyAlignment="1">
      <alignment horizontal="left" vertical="center"/>
    </xf>
    <xf numFmtId="1" fontId="7" fillId="6" borderId="0" xfId="0" applyNumberFormat="1" applyFont="1" applyFill="1" applyAlignment="1">
      <alignment horizontal="left" vertical="center"/>
    </xf>
    <xf numFmtId="9" fontId="8" fillId="6" borderId="0" xfId="1" applyFont="1" applyFill="1" applyBorder="1" applyAlignment="1">
      <alignment horizontal="left" vertical="center" wrapText="1"/>
    </xf>
    <xf numFmtId="0" fontId="8" fillId="6" borderId="0" xfId="0" applyFont="1" applyFill="1" applyAlignment="1">
      <alignment horizontal="left" vertical="center" wrapText="1"/>
    </xf>
    <xf numFmtId="0" fontId="7" fillId="0" borderId="6" xfId="0" applyFont="1" applyBorder="1" applyAlignment="1">
      <alignment horizontal="left" vertical="center" indent="1"/>
    </xf>
    <xf numFmtId="4" fontId="11" fillId="6" borderId="24" xfId="1" applyNumberFormat="1" applyFont="1" applyFill="1" applyBorder="1" applyAlignment="1">
      <alignment horizontal="center" vertical="center"/>
    </xf>
    <xf numFmtId="171" fontId="11" fillId="6" borderId="27" xfId="1" applyNumberFormat="1" applyFont="1" applyFill="1" applyBorder="1" applyAlignment="1">
      <alignment horizontal="center" vertical="center"/>
    </xf>
    <xf numFmtId="171" fontId="11" fillId="6" borderId="28" xfId="0" applyNumberFormat="1" applyFont="1" applyFill="1" applyBorder="1" applyAlignment="1">
      <alignment horizontal="center" vertical="center"/>
    </xf>
    <xf numFmtId="171" fontId="11" fillId="6" borderId="29" xfId="0" applyNumberFormat="1" applyFont="1" applyFill="1" applyBorder="1" applyAlignment="1">
      <alignment horizontal="center" vertical="center"/>
    </xf>
    <xf numFmtId="170" fontId="11" fillId="9" borderId="27" xfId="0" applyNumberFormat="1" applyFont="1" applyFill="1" applyBorder="1" applyAlignment="1">
      <alignment horizontal="center" vertical="center"/>
    </xf>
    <xf numFmtId="170" fontId="11" fillId="9" borderId="28" xfId="0" applyNumberFormat="1" applyFont="1" applyFill="1" applyBorder="1" applyAlignment="1">
      <alignment horizontal="center" vertical="center"/>
    </xf>
    <xf numFmtId="170" fontId="11" fillId="9" borderId="29"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8" fillId="2" borderId="4" xfId="0" applyNumberFormat="1" applyFont="1" applyFill="1" applyBorder="1" applyAlignment="1">
      <alignment horizontal="center" vertical="center"/>
    </xf>
    <xf numFmtId="0" fontId="6" fillId="5" borderId="15" xfId="0" applyFont="1" applyFill="1" applyBorder="1" applyAlignment="1">
      <alignment horizontal="center" vertical="center" wrapText="1"/>
    </xf>
    <xf numFmtId="9" fontId="8" fillId="2" borderId="30" xfId="1" applyFont="1" applyFill="1" applyBorder="1" applyAlignment="1">
      <alignment horizontal="center" vertical="center"/>
    </xf>
    <xf numFmtId="9" fontId="8" fillId="0" borderId="1" xfId="1" applyFont="1" applyBorder="1" applyAlignment="1">
      <alignment horizontal="center" vertical="center"/>
    </xf>
    <xf numFmtId="9" fontId="8" fillId="0" borderId="31" xfId="1" applyFont="1" applyBorder="1" applyAlignment="1">
      <alignment horizontal="center" vertical="center"/>
    </xf>
    <xf numFmtId="9" fontId="8" fillId="0" borderId="15" xfId="1" applyFont="1" applyBorder="1" applyAlignment="1">
      <alignment horizontal="center" vertical="center"/>
    </xf>
    <xf numFmtId="167" fontId="8" fillId="0" borderId="32" xfId="0" applyNumberFormat="1" applyFont="1" applyBorder="1" applyAlignment="1">
      <alignment horizontal="center" vertical="center"/>
    </xf>
    <xf numFmtId="167" fontId="8" fillId="0" borderId="33" xfId="0" applyNumberFormat="1" applyFont="1" applyBorder="1" applyAlignment="1">
      <alignment horizontal="center" vertical="center"/>
    </xf>
    <xf numFmtId="0" fontId="5" fillId="0" borderId="33" xfId="0" applyFont="1" applyBorder="1" applyAlignment="1">
      <alignment vertical="center"/>
    </xf>
    <xf numFmtId="167" fontId="8" fillId="2" borderId="33" xfId="0" applyNumberFormat="1" applyFont="1" applyFill="1" applyBorder="1" applyAlignment="1">
      <alignment horizontal="center" vertical="center"/>
    </xf>
    <xf numFmtId="167" fontId="8" fillId="2" borderId="30"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7" fontId="8" fillId="0" borderId="31" xfId="0" applyNumberFormat="1" applyFont="1" applyBorder="1" applyAlignment="1">
      <alignment horizontal="center" vertical="center"/>
    </xf>
    <xf numFmtId="0" fontId="6" fillId="5" borderId="34" xfId="0" applyFont="1" applyFill="1" applyBorder="1" applyAlignment="1">
      <alignment horizontal="center" vertical="center" wrapText="1"/>
    </xf>
    <xf numFmtId="4" fontId="7" fillId="2" borderId="35" xfId="1" applyNumberFormat="1" applyFont="1" applyFill="1" applyBorder="1" applyAlignment="1">
      <alignment horizontal="center" vertical="center"/>
    </xf>
    <xf numFmtId="4" fontId="7" fillId="2" borderId="36" xfId="1" applyNumberFormat="1" applyFont="1" applyFill="1" applyBorder="1" applyAlignment="1">
      <alignment horizontal="center" vertical="center"/>
    </xf>
    <xf numFmtId="4" fontId="19" fillId="8" borderId="35" xfId="1" applyNumberFormat="1" applyFont="1" applyFill="1" applyBorder="1" applyAlignment="1">
      <alignment horizontal="center" vertical="center"/>
    </xf>
    <xf numFmtId="9" fontId="19" fillId="8" borderId="37" xfId="1" applyFont="1" applyFill="1" applyBorder="1" applyAlignment="1">
      <alignment horizontal="center" vertical="center"/>
    </xf>
    <xf numFmtId="0" fontId="20" fillId="0" borderId="0" xfId="0" applyFont="1" applyAlignment="1">
      <alignment vertical="center"/>
    </xf>
    <xf numFmtId="9" fontId="8" fillId="0" borderId="30" xfId="1" applyFont="1" applyBorder="1" applyAlignment="1">
      <alignment horizontal="center" vertical="center"/>
    </xf>
    <xf numFmtId="9" fontId="7" fillId="0" borderId="0" xfId="1" applyFont="1" applyFill="1" applyBorder="1" applyAlignment="1">
      <alignment horizontal="center" vertical="center"/>
    </xf>
    <xf numFmtId="1" fontId="20"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0" fillId="0" borderId="13" xfId="0" applyNumberFormat="1" applyBorder="1" applyAlignment="1">
      <alignment horizontal="right"/>
    </xf>
    <xf numFmtId="0" fontId="0" fillId="0" borderId="13" xfId="0" applyBorder="1" applyAlignment="1">
      <alignment horizontal="right"/>
    </xf>
    <xf numFmtId="3" fontId="20" fillId="0" borderId="0" xfId="0" applyNumberFormat="1" applyFont="1" applyAlignment="1">
      <alignment horizontal="right"/>
    </xf>
    <xf numFmtId="1" fontId="0" fillId="0" borderId="13" xfId="0" applyNumberFormat="1" applyBorder="1" applyAlignment="1">
      <alignment horizontal="right"/>
    </xf>
    <xf numFmtId="1" fontId="20" fillId="0" borderId="0" xfId="0" applyNumberFormat="1" applyFont="1" applyAlignment="1">
      <alignment horizontal="right"/>
    </xf>
    <xf numFmtId="4" fontId="0" fillId="0" borderId="0" xfId="0" applyNumberFormat="1" applyAlignment="1">
      <alignment horizontal="right"/>
    </xf>
    <xf numFmtId="0" fontId="20"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169" fontId="0" fillId="0" borderId="0" xfId="0" applyNumberFormat="1" applyAlignment="1">
      <alignment horizontal="right" vertical="center"/>
    </xf>
    <xf numFmtId="3" fontId="0" fillId="0" borderId="0" xfId="0" applyNumberFormat="1" applyAlignment="1">
      <alignment horizontal="right" vertical="center"/>
    </xf>
    <xf numFmtId="9" fontId="0" fillId="0" borderId="0" xfId="1" applyFont="1" applyAlignment="1">
      <alignment horizontal="right" vertical="center"/>
    </xf>
    <xf numFmtId="0" fontId="6" fillId="0" borderId="0" xfId="0" applyFont="1" applyAlignment="1">
      <alignment horizontal="center" vertical="center"/>
    </xf>
    <xf numFmtId="0" fontId="8" fillId="0" borderId="16" xfId="0" applyFont="1" applyBorder="1" applyAlignment="1">
      <alignment horizontal="left" vertical="center" indent="3"/>
    </xf>
    <xf numFmtId="0" fontId="8" fillId="0" borderId="17" xfId="0" applyFont="1" applyBorder="1" applyAlignment="1">
      <alignment horizontal="left" vertical="center" indent="3"/>
    </xf>
    <xf numFmtId="3" fontId="8" fillId="0" borderId="16" xfId="1" applyNumberFormat="1" applyFont="1" applyBorder="1" applyAlignment="1">
      <alignment horizontal="center" vertical="center"/>
    </xf>
    <xf numFmtId="0" fontId="8" fillId="0" borderId="0" xfId="0" quotePrefix="1" applyFont="1" applyAlignment="1">
      <alignment horizontal="left" vertical="center" wrapText="1" indent="3"/>
    </xf>
    <xf numFmtId="0" fontId="5" fillId="0" borderId="38" xfId="0" applyFont="1" applyBorder="1"/>
    <xf numFmtId="3" fontId="8" fillId="0" borderId="17" xfId="1" applyNumberFormat="1" applyFont="1" applyBorder="1" applyAlignment="1">
      <alignment horizontal="center" vertical="center"/>
    </xf>
    <xf numFmtId="0" fontId="16" fillId="0" borderId="38" xfId="0" applyFont="1" applyBorder="1" applyAlignment="1">
      <alignment horizontal="left" vertical="center" indent="1"/>
    </xf>
    <xf numFmtId="9" fontId="5" fillId="0" borderId="0" xfId="1" applyFont="1" applyAlignment="1">
      <alignment horizontal="center"/>
    </xf>
    <xf numFmtId="167" fontId="7" fillId="2" borderId="15" xfId="1" applyNumberFormat="1" applyFont="1" applyFill="1" applyBorder="1" applyAlignment="1">
      <alignment horizontal="center" vertical="center"/>
    </xf>
    <xf numFmtId="0" fontId="8" fillId="0" borderId="0" xfId="0" quotePrefix="1" applyFont="1" applyAlignment="1">
      <alignment horizontal="left" vertical="center" wrapText="1" indent="1"/>
    </xf>
    <xf numFmtId="0" fontId="0" fillId="0" borderId="0" xfId="0" applyAlignment="1">
      <alignment horizontal="left" indent="2"/>
    </xf>
    <xf numFmtId="1" fontId="20" fillId="10" borderId="0" xfId="0" applyNumberFormat="1" applyFont="1" applyFill="1" applyAlignment="1">
      <alignment horizontal="right"/>
    </xf>
    <xf numFmtId="3" fontId="0" fillId="10" borderId="0" xfId="0" applyNumberFormat="1" applyFill="1" applyAlignment="1">
      <alignment horizontal="right"/>
    </xf>
    <xf numFmtId="0" fontId="20" fillId="10" borderId="0" xfId="0" applyFont="1" applyFill="1" applyAlignment="1">
      <alignment horizontal="right"/>
    </xf>
    <xf numFmtId="0" fontId="0" fillId="10" borderId="0" xfId="0" applyFill="1" applyAlignment="1">
      <alignment horizontal="right"/>
    </xf>
    <xf numFmtId="166" fontId="7" fillId="0" borderId="0" xfId="0" applyNumberFormat="1" applyFont="1" applyAlignment="1">
      <alignment horizontal="center" vertical="center"/>
    </xf>
    <xf numFmtId="0" fontId="0" fillId="0" borderId="0" xfId="0" applyAlignment="1">
      <alignment horizontal="center" vertical="center"/>
    </xf>
    <xf numFmtId="9" fontId="11" fillId="6" borderId="27" xfId="1" applyFont="1" applyFill="1" applyBorder="1" applyAlignment="1">
      <alignment horizontal="center" vertical="center"/>
    </xf>
    <xf numFmtId="9" fontId="11" fillId="6" borderId="28" xfId="1" applyFont="1" applyFill="1" applyBorder="1" applyAlignment="1">
      <alignment horizontal="center" vertical="center"/>
    </xf>
    <xf numFmtId="9" fontId="11" fillId="6" borderId="29" xfId="1" applyFont="1" applyFill="1" applyBorder="1" applyAlignment="1">
      <alignment horizontal="center" vertical="center"/>
    </xf>
    <xf numFmtId="9" fontId="7" fillId="0" borderId="4" xfId="1" applyFont="1" applyFill="1" applyBorder="1" applyAlignment="1">
      <alignment horizontal="center" vertical="center"/>
    </xf>
    <xf numFmtId="9" fontId="7" fillId="2" borderId="38" xfId="1" applyFont="1" applyFill="1" applyBorder="1" applyAlignment="1">
      <alignment horizontal="center" vertical="center"/>
    </xf>
    <xf numFmtId="9" fontId="7" fillId="2" borderId="16" xfId="1" applyFont="1" applyFill="1" applyBorder="1" applyAlignment="1">
      <alignment horizontal="center" vertical="center"/>
    </xf>
    <xf numFmtId="0" fontId="11" fillId="0" borderId="0" xfId="0" applyFont="1" applyAlignment="1">
      <alignment horizontal="center" vertical="center" wrapText="1"/>
    </xf>
    <xf numFmtId="9" fontId="11" fillId="2" borderId="27" xfId="1" applyFont="1" applyFill="1" applyBorder="1" applyAlignment="1">
      <alignment horizontal="center" vertical="center"/>
    </xf>
    <xf numFmtId="9" fontId="11" fillId="2" borderId="28" xfId="1" applyFont="1" applyFill="1" applyBorder="1" applyAlignment="1">
      <alignment horizontal="center" vertical="center"/>
    </xf>
    <xf numFmtId="9" fontId="11" fillId="2" borderId="29" xfId="1" applyFont="1" applyFill="1" applyBorder="1" applyAlignment="1">
      <alignment horizontal="center" vertical="center"/>
    </xf>
    <xf numFmtId="0" fontId="5" fillId="0" borderId="39" xfId="0" applyFont="1" applyBorder="1" applyAlignment="1">
      <alignment vertical="center"/>
    </xf>
    <xf numFmtId="9" fontId="14" fillId="2" borderId="11" xfId="1" applyFont="1" applyFill="1" applyBorder="1" applyAlignment="1">
      <alignment horizontal="center" vertical="center"/>
    </xf>
    <xf numFmtId="9" fontId="14" fillId="7" borderId="11" xfId="1" applyFont="1" applyFill="1" applyBorder="1" applyAlignment="1">
      <alignment horizontal="center" vertical="center"/>
    </xf>
    <xf numFmtId="9" fontId="14" fillId="7" borderId="12" xfId="1" applyFont="1" applyFill="1" applyBorder="1" applyAlignment="1">
      <alignment horizontal="center" vertical="center"/>
    </xf>
    <xf numFmtId="0" fontId="6" fillId="4" borderId="42" xfId="0" applyFont="1" applyFill="1" applyBorder="1" applyAlignment="1">
      <alignment horizontal="center" vertical="center" wrapText="1"/>
    </xf>
    <xf numFmtId="0" fontId="6" fillId="4" borderId="41" xfId="0" applyFont="1" applyFill="1" applyBorder="1" applyAlignment="1">
      <alignment horizontal="center" vertical="center" wrapText="1"/>
    </xf>
    <xf numFmtId="168" fontId="7" fillId="2" borderId="4" xfId="0" applyNumberFormat="1" applyFont="1" applyFill="1" applyBorder="1" applyAlignment="1">
      <alignment horizontal="center" vertical="center"/>
    </xf>
    <xf numFmtId="168" fontId="7" fillId="2" borderId="0" xfId="0" applyNumberFormat="1" applyFont="1" applyFill="1" applyAlignment="1">
      <alignment horizontal="center" vertical="center"/>
    </xf>
    <xf numFmtId="168" fontId="7" fillId="2" borderId="7" xfId="0" applyNumberFormat="1" applyFont="1" applyFill="1" applyBorder="1" applyAlignment="1">
      <alignment horizontal="center" vertical="center"/>
    </xf>
    <xf numFmtId="167" fontId="5" fillId="0" borderId="0" xfId="0" applyNumberFormat="1" applyFont="1" applyAlignment="1">
      <alignment vertical="center"/>
    </xf>
    <xf numFmtId="0" fontId="8" fillId="6" borderId="0" xfId="0" applyFont="1" applyFill="1" applyAlignment="1">
      <alignment horizontal="left" vertical="center" indent="3"/>
    </xf>
    <xf numFmtId="9" fontId="11" fillId="6" borderId="24" xfId="1" applyFont="1" applyFill="1" applyBorder="1" applyAlignment="1">
      <alignment horizontal="center" vertical="center"/>
    </xf>
    <xf numFmtId="166" fontId="23" fillId="6" borderId="25" xfId="1" applyNumberFormat="1" applyFont="1" applyFill="1" applyBorder="1" applyAlignment="1">
      <alignment horizontal="center" vertical="center"/>
    </xf>
    <xf numFmtId="166" fontId="23" fillId="6" borderId="26" xfId="1" applyNumberFormat="1" applyFont="1" applyFill="1" applyBorder="1" applyAlignment="1">
      <alignment horizontal="center" vertical="center"/>
    </xf>
    <xf numFmtId="166" fontId="23" fillId="6" borderId="40" xfId="1" applyNumberFormat="1" applyFont="1" applyFill="1" applyBorder="1" applyAlignment="1">
      <alignment horizontal="center" vertical="center"/>
    </xf>
    <xf numFmtId="166" fontId="23" fillId="0" borderId="0" xfId="1" applyNumberFormat="1" applyFont="1" applyFill="1" applyBorder="1" applyAlignment="1">
      <alignment horizontal="center" vertical="center"/>
    </xf>
    <xf numFmtId="4" fontId="7" fillId="2" borderId="43" xfId="1" applyNumberFormat="1" applyFont="1" applyFill="1" applyBorder="1" applyAlignment="1">
      <alignment horizontal="center" vertical="center"/>
    </xf>
    <xf numFmtId="0" fontId="7" fillId="11" borderId="43" xfId="0" applyFont="1" applyFill="1" applyBorder="1" applyAlignment="1">
      <alignment horizontal="left" vertical="center" indent="1"/>
    </xf>
    <xf numFmtId="166" fontId="11" fillId="0" borderId="0" xfId="1" applyNumberFormat="1" applyFont="1" applyBorder="1" applyAlignment="1">
      <alignment horizontal="right" vertical="center"/>
    </xf>
    <xf numFmtId="9" fontId="0" fillId="0" borderId="0" xfId="0" applyNumberFormat="1"/>
    <xf numFmtId="0" fontId="24" fillId="0" borderId="0" xfId="0" applyFont="1"/>
    <xf numFmtId="0" fontId="25" fillId="0" borderId="0" xfId="0" applyFont="1"/>
    <xf numFmtId="4" fontId="26" fillId="0" borderId="0" xfId="0" applyNumberFormat="1" applyFont="1"/>
    <xf numFmtId="0" fontId="27" fillId="0" borderId="0" xfId="0" applyFont="1"/>
    <xf numFmtId="4" fontId="28" fillId="0" borderId="0" xfId="0" applyNumberFormat="1" applyFont="1"/>
    <xf numFmtId="0" fontId="29" fillId="0" borderId="0" xfId="0" applyFont="1"/>
    <xf numFmtId="10" fontId="30" fillId="0" borderId="0" xfId="0" applyNumberFormat="1" applyFont="1"/>
    <xf numFmtId="10" fontId="31" fillId="0" borderId="0" xfId="0" applyNumberFormat="1" applyFont="1"/>
    <xf numFmtId="4" fontId="32" fillId="0" borderId="0" xfId="0" applyNumberFormat="1" applyFont="1"/>
    <xf numFmtId="0" fontId="33" fillId="0" borderId="0" xfId="0" applyFont="1"/>
    <xf numFmtId="4" fontId="34" fillId="0" borderId="0" xfId="0" applyNumberFormat="1" applyFont="1"/>
    <xf numFmtId="0" fontId="32" fillId="0" borderId="0" xfId="0" applyFont="1"/>
    <xf numFmtId="0" fontId="26" fillId="0" borderId="0" xfId="0" applyFont="1"/>
    <xf numFmtId="0" fontId="35" fillId="0" borderId="0" xfId="0" applyFont="1"/>
    <xf numFmtId="10" fontId="36" fillId="0" borderId="0" xfId="0" applyNumberFormat="1" applyFont="1"/>
    <xf numFmtId="10" fontId="37" fillId="0" borderId="0" xfId="0" applyNumberFormat="1" applyFont="1"/>
    <xf numFmtId="10" fontId="26" fillId="0" borderId="0" xfId="0" applyNumberFormat="1" applyFont="1"/>
    <xf numFmtId="10" fontId="32" fillId="0" borderId="0" xfId="0" applyNumberFormat="1" applyFont="1"/>
    <xf numFmtId="8" fontId="26" fillId="0" borderId="0" xfId="0" applyNumberFormat="1" applyFont="1"/>
    <xf numFmtId="0" fontId="38" fillId="0" borderId="0" xfId="0" applyFont="1"/>
    <xf numFmtId="0" fontId="40" fillId="0" borderId="0" xfId="2"/>
    <xf numFmtId="0" fontId="41" fillId="0" borderId="0" xfId="0" applyFont="1"/>
    <xf numFmtId="0" fontId="28" fillId="0" borderId="0" xfId="0" applyFont="1"/>
    <xf numFmtId="0" fontId="37" fillId="0" borderId="0" xfId="0" applyFont="1"/>
    <xf numFmtId="4" fontId="36" fillId="0" borderId="0" xfId="0" applyNumberFormat="1" applyFont="1"/>
    <xf numFmtId="0" fontId="36" fillId="0" borderId="0" xfId="0" applyFont="1"/>
    <xf numFmtId="4" fontId="37" fillId="0" borderId="0" xfId="0" applyNumberFormat="1" applyFont="1"/>
    <xf numFmtId="0" fontId="34" fillId="0" borderId="0" xfId="0" applyFont="1"/>
    <xf numFmtId="0" fontId="6" fillId="4" borderId="0" xfId="0" applyFont="1" applyFill="1" applyAlignment="1">
      <alignment horizontal="center" vertical="center" wrapText="1"/>
    </xf>
    <xf numFmtId="9" fontId="7" fillId="2" borderId="44" xfId="1" applyFont="1" applyFill="1" applyBorder="1" applyAlignment="1">
      <alignment horizontal="center" vertical="center"/>
    </xf>
    <xf numFmtId="9" fontId="7" fillId="2" borderId="41" xfId="1" applyFont="1" applyFill="1" applyBorder="1" applyAlignment="1">
      <alignment horizontal="center" vertical="center"/>
    </xf>
    <xf numFmtId="0" fontId="7" fillId="6" borderId="18" xfId="0" applyFont="1" applyFill="1" applyBorder="1" applyAlignment="1">
      <alignment horizontal="left" vertical="center" indent="1"/>
    </xf>
    <xf numFmtId="0" fontId="7" fillId="6" borderId="19" xfId="0" applyFont="1" applyFill="1" applyBorder="1" applyAlignment="1">
      <alignment horizontal="left" vertical="center" indent="1"/>
    </xf>
    <xf numFmtId="0" fontId="7" fillId="6" borderId="20" xfId="0" applyFont="1" applyFill="1" applyBorder="1" applyAlignment="1">
      <alignment horizontal="left" vertical="center" indent="1"/>
    </xf>
    <xf numFmtId="0" fontId="6" fillId="4" borderId="0" xfId="0" quotePrefix="1" applyFont="1" applyFill="1" applyAlignment="1">
      <alignment horizontal="center" vertical="center" wrapText="1"/>
    </xf>
    <xf numFmtId="0" fontId="0" fillId="0" borderId="0" xfId="0" applyAlignment="1">
      <alignment horizontal="center"/>
    </xf>
    <xf numFmtId="0" fontId="11" fillId="0" borderId="0" xfId="0" applyFont="1" applyAlignment="1">
      <alignment horizontal="left" vertical="center"/>
    </xf>
    <xf numFmtId="0" fontId="11" fillId="0" borderId="0" xfId="0" applyFont="1" applyAlignment="1">
      <alignment horizontal="left" vertical="center" wrapText="1" indent="1"/>
    </xf>
    <xf numFmtId="0" fontId="11" fillId="0" borderId="0" xfId="0" applyFont="1" applyAlignment="1">
      <alignment horizontal="center" vertical="center" wrapText="1"/>
    </xf>
    <xf numFmtId="0" fontId="0" fillId="0" borderId="0" xfId="0"/>
    <xf numFmtId="0" fontId="10" fillId="2" borderId="0" xfId="0" applyFont="1" applyFill="1" applyAlignment="1">
      <alignment horizontal="left" vertical="center"/>
    </xf>
  </cellXfs>
  <cellStyles count="3">
    <cellStyle name="Hipervínculo" xfId="2" builtinId="8"/>
    <cellStyle name="Normal" xfId="0" builtinId="0"/>
    <cellStyle name="Porcentaje" xfId="1" builtinId="5"/>
  </cellStyles>
  <dxfs count="50">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8F00"/>
      </font>
    </dxf>
    <dxf>
      <font>
        <color rgb="FFFF0000"/>
      </font>
    </dxf>
    <dxf>
      <font>
        <b/>
        <i val="0"/>
        <color rgb="FF008F00"/>
      </font>
    </dxf>
    <dxf>
      <font>
        <color rgb="FFFF0000"/>
      </font>
    </dxf>
    <dxf>
      <font>
        <color rgb="FF008F00"/>
      </font>
    </dxf>
    <dxf>
      <font>
        <color rgb="FFFF0000"/>
      </font>
    </dxf>
    <dxf>
      <font>
        <color rgb="FFFF0000"/>
      </font>
    </dxf>
    <dxf>
      <font>
        <color rgb="FFFF0000"/>
      </font>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8F00"/>
      <color rgb="FF00FF00"/>
      <color rgb="FFFFFF00"/>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'4.Valoración'!$A$22</c:f>
              <c:strCache>
                <c:ptCount val="1"/>
                <c:pt idx="0">
                  <c:v>EV / FCF </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'4.Valoración'!$B$20:$F$20</c:f>
              <c:strCache>
                <c:ptCount val="5"/>
                <c:pt idx="0">
                  <c:v>2026e</c:v>
                </c:pt>
                <c:pt idx="1">
                  <c:v>2027e</c:v>
                </c:pt>
                <c:pt idx="2">
                  <c:v>2028e</c:v>
                </c:pt>
                <c:pt idx="3">
                  <c:v>2029e</c:v>
                </c:pt>
                <c:pt idx="4">
                  <c:v>2030e</c:v>
                </c:pt>
              </c:strCache>
            </c:strRef>
          </c:cat>
          <c:val>
            <c:numRef>
              <c:f>'4.Valoración'!$B$22:$F$22</c:f>
              <c:numCache>
                <c:formatCode>#,##0.00</c:formatCode>
                <c:ptCount val="5"/>
                <c:pt idx="0">
                  <c:v>47.257998809595527</c:v>
                </c:pt>
                <c:pt idx="1">
                  <c:v>50.185850443524799</c:v>
                </c:pt>
                <c:pt idx="2">
                  <c:v>53.295096029932701</c:v>
                </c:pt>
                <c:pt idx="3">
                  <c:v>56.596973763273617</c:v>
                </c:pt>
                <c:pt idx="4">
                  <c:v>60.103418096134504</c:v>
                </c:pt>
              </c:numCache>
            </c:numRef>
          </c:val>
          <c:smooth val="1"/>
          <c:extLst>
            <c:ext xmlns:c16="http://schemas.microsoft.com/office/drawing/2014/chart" uri="{C3380CC4-5D6E-409C-BE32-E72D297353CC}">
              <c16:uniqueId val="{00000000-ECAE-4AC7-A87E-F0CB64A2EAEC}"/>
            </c:ext>
          </c:extLst>
        </c:ser>
        <c:ser>
          <c:idx val="1"/>
          <c:order val="1"/>
          <c:tx>
            <c:strRef>
              <c:f>TIKR_Cálculos!$A$15</c:f>
              <c:strCache>
                <c:ptCount val="1"/>
                <c:pt idx="0">
                  <c:v>Precio actual</c:v>
                </c:pt>
              </c:strCache>
            </c:strRef>
          </c:tx>
          <c:spPr>
            <a:ln w="28575" cap="rnd">
              <a:solidFill>
                <a:schemeClr val="accent6"/>
              </a:solidFill>
              <a:prstDash val="dash"/>
              <a:round/>
            </a:ln>
            <a:effectLst/>
          </c:spPr>
          <c:marker>
            <c:symbol val="none"/>
          </c:marker>
          <c:cat>
            <c:strRef>
              <c:f>'4.Valoración'!$B$20:$F$20</c:f>
              <c:strCache>
                <c:ptCount val="5"/>
                <c:pt idx="0">
                  <c:v>2026e</c:v>
                </c:pt>
                <c:pt idx="1">
                  <c:v>2027e</c:v>
                </c:pt>
                <c:pt idx="2">
                  <c:v>2028e</c:v>
                </c:pt>
                <c:pt idx="3">
                  <c:v>2029e</c:v>
                </c:pt>
                <c:pt idx="4">
                  <c:v>2030e</c:v>
                </c:pt>
              </c:strCache>
            </c:strRef>
          </c:cat>
          <c:val>
            <c:numRef>
              <c:f>TIKR_Cálculos!$B$15:$F$15</c:f>
              <c:numCache>
                <c:formatCode>#,##0.00</c:formatCode>
                <c:ptCount val="5"/>
                <c:pt idx="0">
                  <c:v>45.7</c:v>
                </c:pt>
                <c:pt idx="1">
                  <c:v>45.7</c:v>
                </c:pt>
                <c:pt idx="2">
                  <c:v>45.7</c:v>
                </c:pt>
                <c:pt idx="3">
                  <c:v>45.7</c:v>
                </c:pt>
                <c:pt idx="4">
                  <c:v>45.7</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Márgenes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TIKR_Cálculos!$A$55</c:f>
              <c:strCache>
                <c:ptCount val="1"/>
                <c:pt idx="0">
                  <c:v>EBITDA</c:v>
                </c:pt>
              </c:strCache>
            </c:strRef>
          </c:tx>
          <c:spPr>
            <a:ln w="28575" cap="rnd">
              <a:solidFill>
                <a:schemeClr val="accent1"/>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TIKR_Cálculos!$B$55:$K$55</c:f>
              <c:numCache>
                <c:formatCode>0.0%</c:formatCode>
                <c:ptCount val="10"/>
                <c:pt idx="0">
                  <c:v>0.15950086483815171</c:v>
                </c:pt>
                <c:pt idx="1">
                  <c:v>0.15909752547307132</c:v>
                </c:pt>
                <c:pt idx="2">
                  <c:v>0.14339093881363849</c:v>
                </c:pt>
                <c:pt idx="3">
                  <c:v>0.14039931487588517</c:v>
                </c:pt>
                <c:pt idx="4">
                  <c:v>0.11319947597786274</c:v>
                </c:pt>
                <c:pt idx="5">
                  <c:v>0.18025057254479321</c:v>
                </c:pt>
                <c:pt idx="6">
                  <c:v>0.16088631984585741</c:v>
                </c:pt>
                <c:pt idx="7">
                  <c:v>0.12921490911220884</c:v>
                </c:pt>
                <c:pt idx="8">
                  <c:v>0.1469958334955804</c:v>
                </c:pt>
                <c:pt idx="9">
                  <c:v>9.667667192122481E-2</c:v>
                </c:pt>
              </c:numCache>
            </c:numRef>
          </c:val>
          <c:smooth val="1"/>
          <c:extLst>
            <c:ext xmlns:c16="http://schemas.microsoft.com/office/drawing/2014/chart" uri="{C3380CC4-5D6E-409C-BE32-E72D297353CC}">
              <c16:uniqueId val="{00000000-724A-4770-9702-F87A32B0FCEE}"/>
            </c:ext>
          </c:extLst>
        </c:ser>
        <c:ser>
          <c:idx val="1"/>
          <c:order val="1"/>
          <c:tx>
            <c:strRef>
              <c:f>TIKR_Cálculos!$A$56</c:f>
              <c:strCache>
                <c:ptCount val="1"/>
                <c:pt idx="0">
                  <c:v>EBIT</c:v>
                </c:pt>
              </c:strCache>
            </c:strRef>
          </c:tx>
          <c:spPr>
            <a:ln w="28575" cap="rnd">
              <a:solidFill>
                <a:schemeClr val="accent6"/>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TIKR_Cálculos!$B$56:$K$56</c:f>
              <c:numCache>
                <c:formatCode>0.0%</c:formatCode>
                <c:ptCount val="10"/>
                <c:pt idx="0">
                  <c:v>0.13905361996540647</c:v>
                </c:pt>
                <c:pt idx="1">
                  <c:v>0.13825327510917029</c:v>
                </c:pt>
                <c:pt idx="2">
                  <c:v>0.12212544989971701</c:v>
                </c:pt>
                <c:pt idx="3">
                  <c:v>0.12199299537285579</c:v>
                </c:pt>
                <c:pt idx="4">
                  <c:v>8.3282089671951443E-2</c:v>
                </c:pt>
                <c:pt idx="5">
                  <c:v>0.16235574116484799</c:v>
                </c:pt>
                <c:pt idx="6">
                  <c:v>0.14290301862556198</c:v>
                </c:pt>
                <c:pt idx="7">
                  <c:v>0.11548899779370131</c:v>
                </c:pt>
                <c:pt idx="8">
                  <c:v>0.13149799462637748</c:v>
                </c:pt>
                <c:pt idx="9">
                  <c:v>7.9941264117126265E-2</c:v>
                </c:pt>
              </c:numCache>
            </c:numRef>
          </c:val>
          <c:smooth val="1"/>
          <c:extLst>
            <c:ext xmlns:c16="http://schemas.microsoft.com/office/drawing/2014/chart" uri="{C3380CC4-5D6E-409C-BE32-E72D297353CC}">
              <c16:uniqueId val="{00000001-724A-4770-9702-F87A32B0FCEE}"/>
            </c:ext>
          </c:extLst>
        </c:ser>
        <c:ser>
          <c:idx val="2"/>
          <c:order val="2"/>
          <c:tx>
            <c:strRef>
              <c:f>TIKR_Cálculos!$A$57</c:f>
              <c:strCache>
                <c:ptCount val="1"/>
                <c:pt idx="0">
                  <c:v>FCF</c:v>
                </c:pt>
              </c:strCache>
            </c:strRef>
          </c:tx>
          <c:spPr>
            <a:ln w="28575" cap="rnd">
              <a:solidFill>
                <a:schemeClr val="accent3"/>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TIKR_Cálculos!$B$57:$K$57</c:f>
              <c:numCache>
                <c:formatCode>0.0%</c:formatCode>
                <c:ptCount val="10"/>
                <c:pt idx="0">
                  <c:v>0.11221275018532247</c:v>
                </c:pt>
                <c:pt idx="1">
                  <c:v>9.4847161572052405E-2</c:v>
                </c:pt>
                <c:pt idx="2">
                  <c:v>6.1268785888946894E-2</c:v>
                </c:pt>
                <c:pt idx="3">
                  <c:v>8.0885548482756864E-2</c:v>
                </c:pt>
                <c:pt idx="4">
                  <c:v>6.6572200090901798E-2</c:v>
                </c:pt>
                <c:pt idx="5">
                  <c:v>0.12402891912524136</c:v>
                </c:pt>
                <c:pt idx="6">
                  <c:v>0.1014771997430957</c:v>
                </c:pt>
                <c:pt idx="7">
                  <c:v>9.3640783333658745E-2</c:v>
                </c:pt>
                <c:pt idx="8">
                  <c:v>0.12738989914722948</c:v>
                </c:pt>
                <c:pt idx="9">
                  <c:v>8.3266751603360042E-2</c:v>
                </c:pt>
              </c:numCache>
            </c:numRef>
          </c:val>
          <c:smooth val="1"/>
          <c:extLst>
            <c:ext xmlns:c16="http://schemas.microsoft.com/office/drawing/2014/chart" uri="{C3380CC4-5D6E-409C-BE32-E72D297353CC}">
              <c16:uniqueId val="{00000002-724A-4770-9702-F87A32B0FCEE}"/>
            </c:ext>
          </c:extLst>
        </c:ser>
        <c:dLbls>
          <c:showLegendKey val="0"/>
          <c:showVal val="0"/>
          <c:showCatName val="0"/>
          <c:showSerName val="0"/>
          <c:showPercent val="0"/>
          <c:showBubbleSize val="0"/>
        </c:dLbls>
        <c:smooth val="0"/>
        <c:axId val="375176607"/>
        <c:axId val="375174111"/>
      </c:lineChart>
      <c:catAx>
        <c:axId val="3751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4111"/>
        <c:crosses val="autoZero"/>
        <c:auto val="1"/>
        <c:lblAlgn val="ctr"/>
        <c:lblOffset val="100"/>
        <c:noMultiLvlLbl val="0"/>
      </c:catAx>
      <c:valAx>
        <c:axId val="375174111"/>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6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Crecimiento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TIKR_Cálculos!$A$49</c:f>
              <c:strCache>
                <c:ptCount val="1"/>
                <c:pt idx="0">
                  <c:v>Ventas</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TIKR_Cálculos!$B$49:$K$49</c15:sqref>
                  </c15:fullRef>
                </c:ext>
              </c:extLst>
              <c:f>TIKR_Cálculos!$B$49:$J$49</c:f>
              <c:numCache>
                <c:formatCode>0%</c:formatCode>
                <c:ptCount val="9"/>
                <c:pt idx="0">
                  <c:v>6.0971089696071165E-2</c:v>
                </c:pt>
                <c:pt idx="1">
                  <c:v>5.9592430858806403E-2</c:v>
                </c:pt>
                <c:pt idx="2">
                  <c:v>7.4731433909388134E-2</c:v>
                </c:pt>
                <c:pt idx="3">
                  <c:v>-4.3817266150267146E-2</c:v>
                </c:pt>
                <c:pt idx="4">
                  <c:v>0.1907600994572628</c:v>
                </c:pt>
                <c:pt idx="5">
                  <c:v>4.8767344739323724E-2</c:v>
                </c:pt>
                <c:pt idx="6">
                  <c:v>9.6488974523656609E-2</c:v>
                </c:pt>
                <c:pt idx="7">
                  <c:v>2.8310912392369722E-3</c:v>
                </c:pt>
                <c:pt idx="8">
                  <c:v>-9.8380125384525521E-2</c:v>
                </c:pt>
              </c:numCache>
            </c:numRef>
          </c:val>
          <c:smooth val="1"/>
          <c:extLst>
            <c:ext xmlns:c16="http://schemas.microsoft.com/office/drawing/2014/chart" uri="{C3380CC4-5D6E-409C-BE32-E72D297353CC}">
              <c16:uniqueId val="{00000000-E8FB-47C7-8EDA-0FF775984DCF}"/>
            </c:ext>
          </c:extLst>
        </c:ser>
        <c:ser>
          <c:idx val="1"/>
          <c:order val="1"/>
          <c:tx>
            <c:strRef>
              <c:f>TIKR_Cálculos!$A$50</c:f>
              <c:strCache>
                <c:ptCount val="1"/>
                <c:pt idx="0">
                  <c:v>EPS</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TIKR_Cálculos!$B$50:$K$50</c15:sqref>
                  </c15:fullRef>
                </c:ext>
              </c:extLst>
              <c:f>TIKR_Cálculos!$B$50:$J$50</c:f>
              <c:numCache>
                <c:formatCode>0%</c:formatCode>
                <c:ptCount val="9"/>
                <c:pt idx="0">
                  <c:v>0.15046922142549254</c:v>
                </c:pt>
                <c:pt idx="1">
                  <c:v>-0.49588520607594078</c:v>
                </c:pt>
                <c:pt idx="2">
                  <c:v>1.0261935527823227</c:v>
                </c:pt>
                <c:pt idx="3">
                  <c:v>-0.31078379156987745</c:v>
                </c:pt>
                <c:pt idx="4">
                  <c:v>1.2286231385383088</c:v>
                </c:pt>
                <c:pt idx="5">
                  <c:v>-2.9013664804820798E-2</c:v>
                </c:pt>
                <c:pt idx="6">
                  <c:v>-0.16195991322573339</c:v>
                </c:pt>
                <c:pt idx="7">
                  <c:v>0.26723539198743101</c:v>
                </c:pt>
                <c:pt idx="8">
                  <c:v>-0.45360120984358265</c:v>
                </c:pt>
              </c:numCache>
            </c:numRef>
          </c:val>
          <c:smooth val="1"/>
          <c:extLst>
            <c:ext xmlns:c16="http://schemas.microsoft.com/office/drawing/2014/chart" uri="{C3380CC4-5D6E-409C-BE32-E72D297353CC}">
              <c16:uniqueId val="{00000001-E8FB-47C7-8EDA-0FF775984DCF}"/>
            </c:ext>
          </c:extLst>
        </c:ser>
        <c:ser>
          <c:idx val="2"/>
          <c:order val="2"/>
          <c:tx>
            <c:strRef>
              <c:f>TIKR_Cálculos!$A$51</c:f>
              <c:strCache>
                <c:ptCount val="1"/>
                <c:pt idx="0">
                  <c:v>FCF per share</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TIKR_Cálculos!$B$51:$K$51</c15:sqref>
                  </c15:fullRef>
                </c:ext>
              </c:extLst>
              <c:f>TIKR_Cálculos!$B$51:$J$51</c:f>
              <c:numCache>
                <c:formatCode>0%</c:formatCode>
                <c:ptCount val="9"/>
                <c:pt idx="0">
                  <c:v>-0.10322047894302229</c:v>
                </c:pt>
                <c:pt idx="1">
                  <c:v>-0.31553100061387357</c:v>
                </c:pt>
                <c:pt idx="2">
                  <c:v>0.41883408071748879</c:v>
                </c:pt>
                <c:pt idx="3">
                  <c:v>-0.21302149178255372</c:v>
                </c:pt>
                <c:pt idx="4">
                  <c:v>1.2184738955823293</c:v>
                </c:pt>
                <c:pt idx="5">
                  <c:v>-0.14192614047791455</c:v>
                </c:pt>
                <c:pt idx="6">
                  <c:v>1.1814345991561181E-2</c:v>
                </c:pt>
                <c:pt idx="7">
                  <c:v>0.36426188490408673</c:v>
                </c:pt>
                <c:pt idx="8">
                  <c:v>-0.41066788934739418</c:v>
                </c:pt>
              </c:numCache>
            </c:numRef>
          </c:val>
          <c:smooth val="1"/>
          <c:extLst>
            <c:ext xmlns:c16="http://schemas.microsoft.com/office/drawing/2014/chart" uri="{C3380CC4-5D6E-409C-BE32-E72D297353CC}">
              <c16:uniqueId val="{00000002-E8FB-47C7-8EDA-0FF775984DCF}"/>
            </c:ext>
          </c:extLst>
        </c:ser>
        <c:dLbls>
          <c:showLegendKey val="0"/>
          <c:showVal val="0"/>
          <c:showCatName val="0"/>
          <c:showSerName val="0"/>
          <c:showPercent val="0"/>
          <c:showBubbleSize val="0"/>
        </c:dLbls>
        <c:smooth val="0"/>
        <c:axId val="342049839"/>
        <c:axId val="342044847"/>
      </c:lineChart>
      <c:catAx>
        <c:axId val="3420498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4847"/>
        <c:crosses val="autoZero"/>
        <c:auto val="1"/>
        <c:lblAlgn val="ctr"/>
        <c:lblOffset val="100"/>
        <c:noMultiLvlLbl val="0"/>
      </c:catAx>
      <c:valAx>
        <c:axId val="342044847"/>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FCF vs ROIC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TIKR_Cálculos!$A$61</c:f>
              <c:strCache>
                <c:ptCount val="1"/>
                <c:pt idx="0">
                  <c:v>FCF</c:v>
                </c:pt>
              </c:strCache>
            </c:strRef>
          </c:tx>
          <c:spPr>
            <a:solidFill>
              <a:schemeClr val="accent1"/>
            </a:solidFill>
            <a:ln>
              <a:noFill/>
            </a:ln>
            <a:effectLst/>
          </c:spPr>
          <c:invertIfNegative val="0"/>
          <c:cat>
            <c:numRef>
              <c:f>TIKR_Cálculos!$B$60:$K$60</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TIKR_Cálculos!$B$61:$K$61</c:f>
              <c:numCache>
                <c:formatCode>#,##0</c:formatCode>
                <c:ptCount val="10"/>
                <c:pt idx="0">
                  <c:v>3633</c:v>
                </c:pt>
                <c:pt idx="1">
                  <c:v>3258</c:v>
                </c:pt>
                <c:pt idx="2">
                  <c:v>2230</c:v>
                </c:pt>
                <c:pt idx="3">
                  <c:v>3164</c:v>
                </c:pt>
                <c:pt idx="4">
                  <c:v>2490</c:v>
                </c:pt>
                <c:pt idx="5">
                  <c:v>5524</c:v>
                </c:pt>
                <c:pt idx="6">
                  <c:v>4740</c:v>
                </c:pt>
                <c:pt idx="7">
                  <c:v>4796</c:v>
                </c:pt>
                <c:pt idx="8">
                  <c:v>6543</c:v>
                </c:pt>
                <c:pt idx="9">
                  <c:v>3856</c:v>
                </c:pt>
              </c:numCache>
            </c:numRef>
          </c:val>
          <c:extLst>
            <c:ext xmlns:c16="http://schemas.microsoft.com/office/drawing/2014/chart" uri="{C3380CC4-5D6E-409C-BE32-E72D297353CC}">
              <c16:uniqueId val="{00000000-9FE2-4E89-901A-04EC4532370A}"/>
            </c:ext>
          </c:extLst>
        </c:ser>
        <c:dLbls>
          <c:showLegendKey val="0"/>
          <c:showVal val="0"/>
          <c:showCatName val="0"/>
          <c:showSerName val="0"/>
          <c:showPercent val="0"/>
          <c:showBubbleSize val="0"/>
        </c:dLbls>
        <c:gapWidth val="219"/>
        <c:overlap val="-27"/>
        <c:axId val="375175775"/>
        <c:axId val="375173279"/>
      </c:barChart>
      <c:lineChart>
        <c:grouping val="standard"/>
        <c:varyColors val="0"/>
        <c:ser>
          <c:idx val="1"/>
          <c:order val="1"/>
          <c:tx>
            <c:strRef>
              <c:f>TIKR_Cálculos!$A$62</c:f>
              <c:strCache>
                <c:ptCount val="1"/>
                <c:pt idx="0">
                  <c:v>ROIC</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TIKR_Cálculos!$B$60:$K$60</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TIKR_Cálculos!$B$62:$K$62</c:f>
              <c:numCache>
                <c:formatCode>0%</c:formatCode>
                <c:ptCount val="10"/>
                <c:pt idx="0">
                  <c:v>0.30256699164708695</c:v>
                </c:pt>
                <c:pt idx="1">
                  <c:v>0.29591511400115439</c:v>
                </c:pt>
                <c:pt idx="2">
                  <c:v>0.15932473554687226</c:v>
                </c:pt>
                <c:pt idx="3">
                  <c:v>0.3144290078676244</c:v>
                </c:pt>
                <c:pt idx="4">
                  <c:v>0.1336224470884762</c:v>
                </c:pt>
                <c:pt idx="5">
                  <c:v>0.28472178467513143</c:v>
                </c:pt>
                <c:pt idx="6">
                  <c:v>0.25764661517315635</c:v>
                </c:pt>
                <c:pt idx="7">
                  <c:v>0.20883067514128778</c:v>
                </c:pt>
                <c:pt idx="8">
                  <c:v>0.23398334286693145</c:v>
                </c:pt>
                <c:pt idx="9">
                  <c:v>0.13548183117339455</c:v>
                </c:pt>
              </c:numCache>
            </c:numRef>
          </c:val>
          <c:smooth val="1"/>
          <c:extLst>
            <c:ext xmlns:c16="http://schemas.microsoft.com/office/drawing/2014/chart" uri="{C3380CC4-5D6E-409C-BE32-E72D297353CC}">
              <c16:uniqueId val="{00000001-9FE2-4E89-901A-04EC4532370A}"/>
            </c:ext>
          </c:extLst>
        </c:ser>
        <c:dLbls>
          <c:showLegendKey val="0"/>
          <c:showVal val="0"/>
          <c:showCatName val="0"/>
          <c:showSerName val="0"/>
          <c:showPercent val="0"/>
          <c:showBubbleSize val="0"/>
        </c:dLbls>
        <c:marker val="1"/>
        <c:smooth val="0"/>
        <c:axId val="375179935"/>
        <c:axId val="375174943"/>
      </c:lineChart>
      <c:catAx>
        <c:axId val="375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3279"/>
        <c:crosses val="autoZero"/>
        <c:auto val="1"/>
        <c:lblAlgn val="ctr"/>
        <c:lblOffset val="100"/>
        <c:noMultiLvlLbl val="0"/>
      </c:catAx>
      <c:valAx>
        <c:axId val="37517327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5775"/>
        <c:crosses val="autoZero"/>
        <c:crossBetween val="between"/>
      </c:valAx>
      <c:valAx>
        <c:axId val="375174943"/>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9935"/>
        <c:crosses val="max"/>
        <c:crossBetween val="between"/>
      </c:valAx>
      <c:catAx>
        <c:axId val="375179935"/>
        <c:scaling>
          <c:orientation val="minMax"/>
        </c:scaling>
        <c:delete val="1"/>
        <c:axPos val="b"/>
        <c:numFmt formatCode="General" sourceLinked="1"/>
        <c:majorTickMark val="out"/>
        <c:minorTickMark val="none"/>
        <c:tickLblPos val="nextTo"/>
        <c:crossAx val="37517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Costes como %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TIKR_Cálculos!$A$65</c:f>
              <c:strCache>
                <c:ptCount val="1"/>
                <c:pt idx="0">
                  <c:v>Costes de ventas y operativos</c:v>
                </c:pt>
              </c:strCache>
            </c:strRef>
          </c:tx>
          <c:spPr>
            <a:solidFill>
              <a:schemeClr val="accent1"/>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TIKR_Cálculos!$B$65:$K$65</c:f>
              <c:numCache>
                <c:formatCode>0%</c:formatCode>
                <c:ptCount val="10"/>
                <c:pt idx="0">
                  <c:v>0.84049913516184827</c:v>
                </c:pt>
                <c:pt idx="1">
                  <c:v>0.84090247452692868</c:v>
                </c:pt>
                <c:pt idx="2">
                  <c:v>0.85660906118636149</c:v>
                </c:pt>
                <c:pt idx="3">
                  <c:v>0.85960068512411481</c:v>
                </c:pt>
                <c:pt idx="4">
                  <c:v>0.88680052402213727</c:v>
                </c:pt>
                <c:pt idx="5">
                  <c:v>0.81974942745520674</c:v>
                </c:pt>
                <c:pt idx="6">
                  <c:v>0.83911368015414256</c:v>
                </c:pt>
                <c:pt idx="7">
                  <c:v>0.87078509088779121</c:v>
                </c:pt>
                <c:pt idx="8">
                  <c:v>0.85300416650441957</c:v>
                </c:pt>
                <c:pt idx="9">
                  <c:v>0.90332332807877513</c:v>
                </c:pt>
              </c:numCache>
            </c:numRef>
          </c:val>
          <c:extLst>
            <c:ext xmlns:c16="http://schemas.microsoft.com/office/drawing/2014/chart" uri="{C3380CC4-5D6E-409C-BE32-E72D297353CC}">
              <c16:uniqueId val="{00000000-C215-46D2-A748-34BD26951EA4}"/>
            </c:ext>
          </c:extLst>
        </c:ser>
        <c:ser>
          <c:idx val="1"/>
          <c:order val="1"/>
          <c:tx>
            <c:strRef>
              <c:f>TIKR_Cálculos!$A$66</c:f>
              <c:strCache>
                <c:ptCount val="1"/>
                <c:pt idx="0">
                  <c:v>CapEx Mant.</c:v>
                </c:pt>
              </c:strCache>
            </c:strRef>
          </c:tx>
          <c:spPr>
            <a:solidFill>
              <a:schemeClr val="accent6"/>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TIKR_Cálculos!$B$66:$K$66</c:f>
              <c:numCache>
                <c:formatCode>0%</c:formatCode>
                <c:ptCount val="10"/>
                <c:pt idx="0">
                  <c:v>2.0045712873733631E-2</c:v>
                </c:pt>
                <c:pt idx="1">
                  <c:v>2.0553129548762736E-2</c:v>
                </c:pt>
                <c:pt idx="2">
                  <c:v>2.0523669533203285E-2</c:v>
                </c:pt>
                <c:pt idx="3">
                  <c:v>1.8022854513382928E-2</c:v>
                </c:pt>
                <c:pt idx="4">
                  <c:v>1.9276528620698875E-2</c:v>
                </c:pt>
                <c:pt idx="5">
                  <c:v>1.5604652207104046E-2</c:v>
                </c:pt>
                <c:pt idx="6">
                  <c:v>1.5350032113037893E-2</c:v>
                </c:pt>
                <c:pt idx="7">
                  <c:v>1.3725911318507526E-2</c:v>
                </c:pt>
                <c:pt idx="8">
                  <c:v>1.5497838869202913E-2</c:v>
                </c:pt>
                <c:pt idx="9">
                  <c:v>9.2854520719514565E-3</c:v>
                </c:pt>
              </c:numCache>
            </c:numRef>
          </c:val>
          <c:extLst>
            <c:ext xmlns:c16="http://schemas.microsoft.com/office/drawing/2014/chart" uri="{C3380CC4-5D6E-409C-BE32-E72D297353CC}">
              <c16:uniqueId val="{00000001-C215-46D2-A748-34BD26951EA4}"/>
            </c:ext>
          </c:extLst>
        </c:ser>
        <c:ser>
          <c:idx val="2"/>
          <c:order val="2"/>
          <c:tx>
            <c:strRef>
              <c:f>TIKR_Cálculos!$A$67</c:f>
              <c:strCache>
                <c:ptCount val="1"/>
                <c:pt idx="0">
                  <c:v>Intereses</c:v>
                </c:pt>
              </c:strCache>
            </c:strRef>
          </c:tx>
          <c:spPr>
            <a:solidFill>
              <a:schemeClr val="accent3"/>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TIKR_Cálculos!$B$67:$K$67</c:f>
              <c:numCache>
                <c:formatCode>0%</c:formatCode>
                <c:ptCount val="10"/>
                <c:pt idx="0">
                  <c:v>-5.8685446009389673E-4</c:v>
                </c:pt>
                <c:pt idx="1">
                  <c:v>-1.7176128093158661E-3</c:v>
                </c:pt>
                <c:pt idx="2">
                  <c:v>-1.4836387614363821E-3</c:v>
                </c:pt>
                <c:pt idx="3">
                  <c:v>-1.2526522995117213E-3</c:v>
                </c:pt>
                <c:pt idx="4">
                  <c:v>-2.37948827634147E-3</c:v>
                </c:pt>
                <c:pt idx="5">
                  <c:v>-5.882617091023396E-3</c:v>
                </c:pt>
                <c:pt idx="6">
                  <c:v>-4.3887818454292444E-3</c:v>
                </c:pt>
                <c:pt idx="7">
                  <c:v>1.1714860300290919E-4</c:v>
                </c:pt>
                <c:pt idx="8">
                  <c:v>3.1346131381176745E-3</c:v>
                </c:pt>
                <c:pt idx="9">
                  <c:v>2.3105659806948974E-3</c:v>
                </c:pt>
              </c:numCache>
            </c:numRef>
          </c:val>
          <c:extLst>
            <c:ext xmlns:c16="http://schemas.microsoft.com/office/drawing/2014/chart" uri="{C3380CC4-5D6E-409C-BE32-E72D297353CC}">
              <c16:uniqueId val="{00000002-C215-46D2-A748-34BD26951EA4}"/>
            </c:ext>
          </c:extLst>
        </c:ser>
        <c:ser>
          <c:idx val="3"/>
          <c:order val="3"/>
          <c:tx>
            <c:strRef>
              <c:f>TIKR_Cálculos!$A$68</c:f>
              <c:strCache>
                <c:ptCount val="1"/>
                <c:pt idx="0">
                  <c:v>Impuestos y otros</c:v>
                </c:pt>
              </c:strCache>
            </c:strRef>
          </c:tx>
          <c:spPr>
            <a:solidFill>
              <a:schemeClr val="bg2">
                <a:lumMod val="75000"/>
              </a:schemeClr>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TIKR_Cálculos!$B$68:$K$68</c:f>
              <c:numCache>
                <c:formatCode>0%</c:formatCode>
                <c:ptCount val="10"/>
                <c:pt idx="0">
                  <c:v>-2.6655547319001729E-2</c:v>
                </c:pt>
                <c:pt idx="1">
                  <c:v>-1.8806404657933044E-2</c:v>
                </c:pt>
                <c:pt idx="2">
                  <c:v>-6.5719702173256039E-2</c:v>
                </c:pt>
                <c:pt idx="3">
                  <c:v>-1.9735664800470384E-2</c:v>
                </c:pt>
                <c:pt idx="4">
                  <c:v>-9.3040665187284436E-3</c:v>
                </c:pt>
                <c:pt idx="5">
                  <c:v>-2.0970856347388746E-2</c:v>
                </c:pt>
                <c:pt idx="6">
                  <c:v>-1.2952258616998502E-2</c:v>
                </c:pt>
                <c:pt idx="7">
                  <c:v>-2.2082511666048382E-2</c:v>
                </c:pt>
                <c:pt idx="8">
                  <c:v>-1.9469646820606673E-2</c:v>
                </c:pt>
                <c:pt idx="9">
                  <c:v>-1.4381653674231791E-2</c:v>
                </c:pt>
              </c:numCache>
            </c:numRef>
          </c:val>
          <c:extLst>
            <c:ext xmlns:c16="http://schemas.microsoft.com/office/drawing/2014/chart" uri="{C3380CC4-5D6E-409C-BE32-E72D297353CC}">
              <c16:uniqueId val="{00000003-C215-46D2-A748-34BD26951EA4}"/>
            </c:ext>
          </c:extLst>
        </c:ser>
        <c:ser>
          <c:idx val="4"/>
          <c:order val="4"/>
          <c:tx>
            <c:strRef>
              <c:f>TIKR_Cálculos!$A$69</c:f>
              <c:strCache>
                <c:ptCount val="1"/>
                <c:pt idx="0">
                  <c:v>Cambios de WC</c:v>
                </c:pt>
              </c:strCache>
            </c:strRef>
          </c:tx>
          <c:spPr>
            <a:solidFill>
              <a:schemeClr val="accent5"/>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TIKR_Cálculos!$B$69:$K$69</c:f>
              <c:numCache>
                <c:formatCode>0%</c:formatCode>
                <c:ptCount val="10"/>
                <c:pt idx="1">
                  <c:v>2.3173216885007279E-2</c:v>
                </c:pt>
                <c:pt idx="2">
                  <c:v>-5.6048575432041106E-3</c:v>
                </c:pt>
                <c:pt idx="3">
                  <c:v>2.0502594779763274E-2</c:v>
                </c:pt>
                <c:pt idx="4">
                  <c:v>1.5667192471192151E-2</c:v>
                </c:pt>
                <c:pt idx="5">
                  <c:v>1.3763527774035654E-2</c:v>
                </c:pt>
                <c:pt idx="6">
                  <c:v>2.6718047527296084E-2</c:v>
                </c:pt>
                <c:pt idx="7">
                  <c:v>-1.1714860300290919E-4</c:v>
                </c:pt>
                <c:pt idx="8">
                  <c:v>-1.2226938203340991E-2</c:v>
                </c:pt>
                <c:pt idx="9">
                  <c:v>-7.9466194476235721E-3</c:v>
                </c:pt>
              </c:numCache>
            </c:numRef>
          </c:val>
          <c:extLst>
            <c:ext xmlns:c16="http://schemas.microsoft.com/office/drawing/2014/chart" uri="{C3380CC4-5D6E-409C-BE32-E72D297353CC}">
              <c16:uniqueId val="{00000004-C215-46D2-A748-34BD26951EA4}"/>
            </c:ext>
          </c:extLst>
        </c:ser>
        <c:dLbls>
          <c:showLegendKey val="0"/>
          <c:showVal val="0"/>
          <c:showCatName val="0"/>
          <c:showSerName val="0"/>
          <c:showPercent val="0"/>
          <c:showBubbleSize val="0"/>
        </c:dLbls>
        <c:gapWidth val="150"/>
        <c:overlap val="100"/>
        <c:axId val="1070261631"/>
        <c:axId val="1070264127"/>
      </c:barChart>
      <c:catAx>
        <c:axId val="1070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4127"/>
        <c:crosses val="autoZero"/>
        <c:auto val="1"/>
        <c:lblAlgn val="ctr"/>
        <c:lblOffset val="100"/>
        <c:noMultiLvlLbl val="0"/>
      </c:catAx>
      <c:valAx>
        <c:axId val="1070264127"/>
        <c:scaling>
          <c:orientation val="minMax"/>
          <c:min val="0"/>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Asignación de capital (% del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'2.FCF'!$A$28</c:f>
              <c:strCache>
                <c:ptCount val="1"/>
                <c:pt idx="0">
                  <c:v>CapEx Expansión (crecimiento orgánico)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'2.FCF'!$B$28:$K$28</c:f>
              <c:numCache>
                <c:formatCode>0%</c:formatCode>
                <c:ptCount val="10"/>
                <c:pt idx="0">
                  <c:v>0.13322323148912743</c:v>
                </c:pt>
                <c:pt idx="1">
                  <c:v>0.11847759361571517</c:v>
                </c:pt>
                <c:pt idx="2">
                  <c:v>0.12600896860986546</c:v>
                </c:pt>
                <c:pt idx="3">
                  <c:v>0.13084702907711757</c:v>
                </c:pt>
                <c:pt idx="4">
                  <c:v>0.1465863453815261</c:v>
                </c:pt>
                <c:pt idx="5">
                  <c:v>0</c:v>
                </c:pt>
                <c:pt idx="6">
                  <c:v>8.6497890295358648E-3</c:v>
                </c:pt>
                <c:pt idx="7">
                  <c:v>5.5462885738115093E-2</c:v>
                </c:pt>
                <c:pt idx="8">
                  <c:v>2.4453614549900657E-3</c:v>
                </c:pt>
                <c:pt idx="9">
                  <c:v>0</c:v>
                </c:pt>
              </c:numCache>
            </c:numRef>
          </c:val>
          <c:extLst>
            <c:ext xmlns:c16="http://schemas.microsoft.com/office/drawing/2014/chart" uri="{C3380CC4-5D6E-409C-BE32-E72D297353CC}">
              <c16:uniqueId val="{00000000-3650-48E9-9E03-080CB68A3CF8}"/>
            </c:ext>
          </c:extLst>
        </c:ser>
        <c:ser>
          <c:idx val="1"/>
          <c:order val="1"/>
          <c:tx>
            <c:strRef>
              <c:f>'2.FCF'!$A$30</c:f>
              <c:strCache>
                <c:ptCount val="1"/>
                <c:pt idx="0">
                  <c:v>Dividendos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'2.FCF'!$B$30:$K$30</c:f>
              <c:numCache>
                <c:formatCode>0%</c:formatCode>
                <c:ptCount val="10"/>
                <c:pt idx="0">
                  <c:v>0.2813102119460501</c:v>
                </c:pt>
                <c:pt idx="1">
                  <c:v>0.34775936157151627</c:v>
                </c:pt>
                <c:pt idx="2">
                  <c:v>0.55739910313901342</c:v>
                </c:pt>
                <c:pt idx="3">
                  <c:v>0.42098609355246525</c:v>
                </c:pt>
                <c:pt idx="4">
                  <c:v>0.58313253012048194</c:v>
                </c:pt>
                <c:pt idx="5">
                  <c:v>0.29652425778421432</c:v>
                </c:pt>
                <c:pt idx="6">
                  <c:v>0.38755274261603373</c:v>
                </c:pt>
                <c:pt idx="7">
                  <c:v>0.41951626355296079</c:v>
                </c:pt>
                <c:pt idx="8">
                  <c:v>0.33149931224209078</c:v>
                </c:pt>
                <c:pt idx="9">
                  <c:v>0.59647302904564314</c:v>
                </c:pt>
              </c:numCache>
            </c:numRef>
          </c:val>
          <c:extLst>
            <c:ext xmlns:c16="http://schemas.microsoft.com/office/drawing/2014/chart" uri="{C3380CC4-5D6E-409C-BE32-E72D297353CC}">
              <c16:uniqueId val="{00000001-3650-48E9-9E03-080CB68A3CF8}"/>
            </c:ext>
          </c:extLst>
        </c:ser>
        <c:ser>
          <c:idx val="2"/>
          <c:order val="2"/>
          <c:tx>
            <c:strRef>
              <c:f>'2.FCF'!$A$31</c:f>
              <c:strCache>
                <c:ptCount val="1"/>
                <c:pt idx="0">
                  <c:v>Recompras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'2.FCF'!$B$31:$K$31</c:f>
              <c:numCache>
                <c:formatCode>0%</c:formatCode>
                <c:ptCount val="10"/>
                <c:pt idx="0">
                  <c:v>0.89733003027800717</c:v>
                </c:pt>
                <c:pt idx="1">
                  <c:v>0.99815837937384899</c:v>
                </c:pt>
                <c:pt idx="2">
                  <c:v>1.9076233183856501</c:v>
                </c:pt>
                <c:pt idx="3">
                  <c:v>1.354614412136536</c:v>
                </c:pt>
                <c:pt idx="4">
                  <c:v>1.2317269076305222</c:v>
                </c:pt>
                <c:pt idx="5">
                  <c:v>0.11006517016654598</c:v>
                </c:pt>
                <c:pt idx="6">
                  <c:v>0.84683544303797464</c:v>
                </c:pt>
                <c:pt idx="7">
                  <c:v>1.1426188490408673</c:v>
                </c:pt>
                <c:pt idx="8">
                  <c:v>0.64954913648173618</c:v>
                </c:pt>
                <c:pt idx="9">
                  <c:v>0.77411825726141081</c:v>
                </c:pt>
              </c:numCache>
            </c:numRef>
          </c:val>
          <c:extLst>
            <c:ext xmlns:c16="http://schemas.microsoft.com/office/drawing/2014/chart" uri="{C3380CC4-5D6E-409C-BE32-E72D297353CC}">
              <c16:uniqueId val="{00000002-3650-48E9-9E03-080CB68A3CF8}"/>
            </c:ext>
          </c:extLst>
        </c:ser>
        <c:ser>
          <c:idx val="3"/>
          <c:order val="3"/>
          <c:tx>
            <c:strRef>
              <c:f>'2.FCF'!$A$29</c:f>
              <c:strCache>
                <c:ptCount val="1"/>
                <c:pt idx="0">
                  <c:v>Adquisiciones (crecimiento inorgánico)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'2.FCF'!$B$29:$K$29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3650-48E9-9E03-080CB68A3CF8}"/>
            </c:ext>
          </c:extLst>
        </c:ser>
        <c:dLbls>
          <c:dLblPos val="ctr"/>
          <c:showLegendKey val="0"/>
          <c:showVal val="1"/>
          <c:showCatName val="0"/>
          <c:showSerName val="0"/>
          <c:showPercent val="0"/>
          <c:showBubbleSize val="0"/>
        </c:dLbls>
        <c:gapWidth val="150"/>
        <c:overlap val="100"/>
        <c:axId val="197442640"/>
        <c:axId val="197449296"/>
      </c:barChart>
      <c:catAx>
        <c:axId val="197442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9296"/>
        <c:crosses val="autoZero"/>
        <c:auto val="1"/>
        <c:lblAlgn val="ctr"/>
        <c:lblOffset val="100"/>
        <c:noMultiLvlLbl val="0"/>
      </c:catAx>
      <c:valAx>
        <c:axId val="197449296"/>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22412</xdr:colOff>
      <xdr:row>10</xdr:row>
      <xdr:rowOff>33618</xdr:rowOff>
    </xdr:from>
    <xdr:to>
      <xdr:col>17</xdr:col>
      <xdr:colOff>11206</xdr:colOff>
      <xdr:row>13</xdr:row>
      <xdr:rowOff>212912</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H="1" flipV="1">
          <a:off x="15340853" y="3608294"/>
          <a:ext cx="717177" cy="1120589"/>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3</xdr:row>
      <xdr:rowOff>291352</xdr:rowOff>
    </xdr:from>
    <xdr:to>
      <xdr:col>17</xdr:col>
      <xdr:colOff>0</xdr:colOff>
      <xdr:row>13</xdr:row>
      <xdr:rowOff>156883</xdr:rowOff>
    </xdr:to>
    <xdr:cxnSp macro="">
      <xdr:nvCxnSpPr>
        <xdr:cNvPr id="7" name="Conector recto de flecha 6">
          <a:extLst>
            <a:ext uri="{FF2B5EF4-FFF2-40B4-BE49-F238E27FC236}">
              <a16:creationId xmlns:a16="http://schemas.microsoft.com/office/drawing/2014/main" id="{C90E21BB-686B-4A09-BD41-D56D2E4E47FC}"/>
            </a:ext>
          </a:extLst>
        </xdr:cNvPr>
        <xdr:cNvCxnSpPr/>
      </xdr:nvCxnSpPr>
      <xdr:spPr>
        <a:xfrm flipH="1" flipV="1">
          <a:off x="15318441" y="1669676"/>
          <a:ext cx="728383" cy="300317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17</xdr:col>
      <xdr:colOff>0</xdr:colOff>
      <xdr:row>24</xdr:row>
      <xdr:rowOff>268941</xdr:rowOff>
    </xdr:to>
    <xdr:cxnSp macro="">
      <xdr:nvCxnSpPr>
        <xdr:cNvPr id="12" name="Conector recto de flecha 11">
          <a:extLst>
            <a:ext uri="{FF2B5EF4-FFF2-40B4-BE49-F238E27FC236}">
              <a16:creationId xmlns:a16="http://schemas.microsoft.com/office/drawing/2014/main" id="{E706A7A6-6705-4171-8DA0-F3910E75648F}"/>
            </a:ext>
          </a:extLst>
        </xdr:cNvPr>
        <xdr:cNvCxnSpPr/>
      </xdr:nvCxnSpPr>
      <xdr:spPr>
        <a:xfrm flipH="1">
          <a:off x="15318441" y="4717677"/>
          <a:ext cx="728383" cy="3204882"/>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16</xdr:col>
      <xdr:colOff>717177</xdr:colOff>
      <xdr:row>16</xdr:row>
      <xdr:rowOff>0</xdr:rowOff>
    </xdr:to>
    <xdr:cxnSp macro="">
      <xdr:nvCxnSpPr>
        <xdr:cNvPr id="16" name="Conector recto de flecha 15">
          <a:extLst>
            <a:ext uri="{FF2B5EF4-FFF2-40B4-BE49-F238E27FC236}">
              <a16:creationId xmlns:a16="http://schemas.microsoft.com/office/drawing/2014/main" id="{407ED128-39FF-494B-AAE5-31B6A5137BE1}"/>
            </a:ext>
          </a:extLst>
        </xdr:cNvPr>
        <xdr:cNvCxnSpPr/>
      </xdr:nvCxnSpPr>
      <xdr:spPr>
        <a:xfrm flipH="1">
          <a:off x="15318441" y="4717677"/>
          <a:ext cx="717177" cy="73958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627529</xdr:colOff>
      <xdr:row>11</xdr:row>
      <xdr:rowOff>196453</xdr:rowOff>
    </xdr:from>
    <xdr:to>
      <xdr:col>16</xdr:col>
      <xdr:colOff>858441</xdr:colOff>
      <xdr:row>20</xdr:row>
      <xdr:rowOff>392206</xdr:rowOff>
    </xdr:to>
    <xdr:cxnSp macro="">
      <xdr:nvCxnSpPr>
        <xdr:cNvPr id="5" name="Conector recto de flecha 4">
          <a:extLst>
            <a:ext uri="{FF2B5EF4-FFF2-40B4-BE49-F238E27FC236}">
              <a16:creationId xmlns:a16="http://schemas.microsoft.com/office/drawing/2014/main" id="{138C6371-DB19-2DA0-BC57-9DE27E8B5F0E}"/>
            </a:ext>
          </a:extLst>
        </xdr:cNvPr>
        <xdr:cNvCxnSpPr/>
      </xdr:nvCxnSpPr>
      <xdr:spPr>
        <a:xfrm flipH="1">
          <a:off x="15912353" y="3804747"/>
          <a:ext cx="1048941" cy="301963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6" name="Conector recto de flecha 5">
          <a:extLst>
            <a:ext uri="{FF2B5EF4-FFF2-40B4-BE49-F238E27FC236}">
              <a16:creationId xmlns:a16="http://schemas.microsoft.com/office/drawing/2014/main" id="{9C51951B-9CDD-4608-9451-FC1BF050A3CC}"/>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9" name="Conector recto de flecha 8">
          <a:extLst>
            <a:ext uri="{FF2B5EF4-FFF2-40B4-BE49-F238E27FC236}">
              <a16:creationId xmlns:a16="http://schemas.microsoft.com/office/drawing/2014/main" id="{201425C9-461A-46B4-984C-000FA8F80E5A}"/>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436215</xdr:colOff>
      <xdr:row>15</xdr:row>
      <xdr:rowOff>21239</xdr:rowOff>
    </xdr:from>
    <xdr:to>
      <xdr:col>16</xdr:col>
      <xdr:colOff>1963137</xdr:colOff>
      <xdr:row>24</xdr:row>
      <xdr:rowOff>304159</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4</xdr:row>
      <xdr:rowOff>156883</xdr:rowOff>
    </xdr:from>
    <xdr:to>
      <xdr:col>16</xdr:col>
      <xdr:colOff>549088</xdr:colOff>
      <xdr:row>4</xdr:row>
      <xdr:rowOff>158750</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5437971" y="1848971"/>
          <a:ext cx="485588" cy="186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42333</xdr:colOff>
      <xdr:row>11</xdr:row>
      <xdr:rowOff>179916</xdr:rowOff>
    </xdr:from>
    <xdr:to>
      <xdr:col>5</xdr:col>
      <xdr:colOff>773206</xdr:colOff>
      <xdr:row>16</xdr:row>
      <xdr:rowOff>0</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5600451" y="2690034"/>
          <a:ext cx="1548902" cy="138890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37110</xdr:colOff>
      <xdr:row>16</xdr:row>
      <xdr:rowOff>2037</xdr:rowOff>
    </xdr:from>
    <xdr:to>
      <xdr:col>5</xdr:col>
      <xdr:colOff>779318</xdr:colOff>
      <xdr:row>16</xdr:row>
      <xdr:rowOff>13242</xdr:rowOff>
    </xdr:to>
    <xdr:cxnSp macro="">
      <xdr:nvCxnSpPr>
        <xdr:cNvPr id="4" name="Conector recto de flecha 3">
          <a:extLst>
            <a:ext uri="{FF2B5EF4-FFF2-40B4-BE49-F238E27FC236}">
              <a16:creationId xmlns:a16="http://schemas.microsoft.com/office/drawing/2014/main" id="{6F31DF1B-0E80-46D2-B791-252F5199AFCD}"/>
            </a:ext>
          </a:extLst>
        </xdr:cNvPr>
        <xdr:cNvCxnSpPr/>
      </xdr:nvCxnSpPr>
      <xdr:spPr>
        <a:xfrm flipH="1">
          <a:off x="5595228" y="4080978"/>
          <a:ext cx="1560237" cy="1120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695326</xdr:colOff>
      <xdr:row>16</xdr:row>
      <xdr:rowOff>66675</xdr:rowOff>
    </xdr:from>
    <xdr:to>
      <xdr:col>14</xdr:col>
      <xdr:colOff>200026</xdr:colOff>
      <xdr:row>30</xdr:row>
      <xdr:rowOff>424392</xdr:rowOff>
    </xdr:to>
    <xdr:graphicFrame macro="">
      <xdr:nvGraphicFramePr>
        <xdr:cNvPr id="3" name="Gráfico 2">
          <a:extLst>
            <a:ext uri="{FF2B5EF4-FFF2-40B4-BE49-F238E27FC236}">
              <a16:creationId xmlns:a16="http://schemas.microsoft.com/office/drawing/2014/main" id="{692A42CB-4EF4-42FB-94F0-7726DF96A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585786</xdr:colOff>
      <xdr:row>1</xdr:row>
      <xdr:rowOff>38099</xdr:rowOff>
    </xdr:from>
    <xdr:to>
      <xdr:col>5</xdr:col>
      <xdr:colOff>581025</xdr:colOff>
      <xdr:row>15</xdr:row>
      <xdr:rowOff>85725</xdr:rowOff>
    </xdr:to>
    <xdr:graphicFrame macro="">
      <xdr:nvGraphicFramePr>
        <xdr:cNvPr id="4" name="Gráfico 3">
          <a:extLst>
            <a:ext uri="{FF2B5EF4-FFF2-40B4-BE49-F238E27FC236}">
              <a16:creationId xmlns:a16="http://schemas.microsoft.com/office/drawing/2014/main" id="{7D2E425C-637E-4384-BC71-A383755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1</xdr:row>
      <xdr:rowOff>9525</xdr:rowOff>
    </xdr:from>
    <xdr:to>
      <xdr:col>14</xdr:col>
      <xdr:colOff>209549</xdr:colOff>
      <xdr:row>15</xdr:row>
      <xdr:rowOff>142875</xdr:rowOff>
    </xdr:to>
    <xdr:graphicFrame macro="">
      <xdr:nvGraphicFramePr>
        <xdr:cNvPr id="5" name="Gráfico 4">
          <a:extLst>
            <a:ext uri="{FF2B5EF4-FFF2-40B4-BE49-F238E27FC236}">
              <a16:creationId xmlns:a16="http://schemas.microsoft.com/office/drawing/2014/main" id="{5522EACC-80EC-4E8C-9596-3452C9E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142875</xdr:colOff>
      <xdr:row>0</xdr:row>
      <xdr:rowOff>0</xdr:rowOff>
    </xdr:from>
    <xdr:to>
      <xdr:col>18</xdr:col>
      <xdr:colOff>676075</xdr:colOff>
      <xdr:row>2</xdr:row>
      <xdr:rowOff>46668</xdr:rowOff>
    </xdr:to>
    <xdr:pic>
      <xdr:nvPicPr>
        <xdr:cNvPr id="6" name="Imagen 5">
          <a:extLst>
            <a:ext uri="{FF2B5EF4-FFF2-40B4-BE49-F238E27FC236}">
              <a16:creationId xmlns:a16="http://schemas.microsoft.com/office/drawing/2014/main" id="{46D2EBAA-8FF7-4E6F-B4C1-FD19720376F7}"/>
            </a:ext>
          </a:extLst>
        </xdr:cNvPr>
        <xdr:cNvPicPr>
          <a:picLocks noChangeAspect="1"/>
        </xdr:cNvPicPr>
      </xdr:nvPicPr>
      <xdr:blipFill>
        <a:blip xmlns:r="http://schemas.openxmlformats.org/officeDocument/2006/relationships" r:embed="rId4"/>
        <a:stretch>
          <a:fillRect/>
        </a:stretch>
      </xdr:blipFill>
      <xdr:spPr>
        <a:xfrm>
          <a:off x="12277725" y="0"/>
          <a:ext cx="2819200" cy="1094418"/>
        </a:xfrm>
        <a:prstGeom prst="rect">
          <a:avLst/>
        </a:prstGeom>
      </xdr:spPr>
    </xdr:pic>
    <xdr:clientData/>
  </xdr:twoCellAnchor>
  <xdr:twoCellAnchor>
    <xdr:from>
      <xdr:col>0</xdr:col>
      <xdr:colOff>552978</xdr:colOff>
      <xdr:row>15</xdr:row>
      <xdr:rowOff>85724</xdr:rowOff>
    </xdr:from>
    <xdr:to>
      <xdr:col>5</xdr:col>
      <xdr:colOff>428625</xdr:colOff>
      <xdr:row>30</xdr:row>
      <xdr:rowOff>436032</xdr:rowOff>
    </xdr:to>
    <xdr:graphicFrame macro="">
      <xdr:nvGraphicFramePr>
        <xdr:cNvPr id="8" name="Gráfico 7">
          <a:extLst>
            <a:ext uri="{FF2B5EF4-FFF2-40B4-BE49-F238E27FC236}">
              <a16:creationId xmlns:a16="http://schemas.microsoft.com/office/drawing/2014/main" id="{4E7EA570-CF8A-442F-979E-8408D9A1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695325</xdr:colOff>
      <xdr:row>31</xdr:row>
      <xdr:rowOff>238124</xdr:rowOff>
    </xdr:from>
    <xdr:to>
      <xdr:col>5</xdr:col>
      <xdr:colOff>571500</xdr:colOff>
      <xdr:row>46</xdr:row>
      <xdr:rowOff>114299</xdr:rowOff>
    </xdr:to>
    <xdr:graphicFrame macro="">
      <xdr:nvGraphicFramePr>
        <xdr:cNvPr id="2" name="Gráfico 1">
          <a:extLst>
            <a:ext uri="{FF2B5EF4-FFF2-40B4-BE49-F238E27FC236}">
              <a16:creationId xmlns:a16="http://schemas.microsoft.com/office/drawing/2014/main" id="{25653DDA-CDB6-41CD-B0A1-B94CE45B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26" headerRowCount="0" totalsRowShown="0" headerRowDxfId="49" dataDxfId="48" tableBorderDxfId="47">
  <tableColumns count="16">
    <tableColumn id="1" xr3:uid="{A6785006-F8E5-4C64-9FD0-27A59A5D5C99}" name="Columna1" dataDxfId="46" totalsRowDxfId="45"/>
    <tableColumn id="2" xr3:uid="{981C2CA3-CAE8-4430-949B-243AE4AAF960}" name="Columna2" dataDxfId="44" totalsRowDxfId="43" dataCellStyle="Porcentaje"/>
    <tableColumn id="3" xr3:uid="{05B4E26C-7803-4FE4-9783-4211E3EEA32B}" name="Columna3" dataDxfId="42" totalsRowDxfId="41" dataCellStyle="Porcentaje"/>
    <tableColumn id="4" xr3:uid="{8DA5225F-2555-474C-8C27-E7A1FC21344A}" name="Columna4" dataDxfId="40" totalsRowDxfId="39" dataCellStyle="Porcentaje"/>
    <tableColumn id="5" xr3:uid="{19F8591C-4479-413D-B705-650B30DEF405}" name="Columna5" dataDxfId="38" totalsRowDxfId="37" dataCellStyle="Porcentaje"/>
    <tableColumn id="6" xr3:uid="{1941A256-8DCA-4A7E-AD52-B81EA09BA49A}" name="Columna6" dataDxfId="36" totalsRowDxfId="35" dataCellStyle="Porcentaje"/>
    <tableColumn id="7" xr3:uid="{CF06C5C2-7817-4507-BFA7-43D9A7684B99}" name="Columna7" dataDxfId="34" totalsRowDxfId="33" dataCellStyle="Porcentaje"/>
    <tableColumn id="8" xr3:uid="{A6CC500A-793E-4AC7-A805-E9B1D5055605}" name="Columna8" dataDxfId="32" totalsRowDxfId="31" dataCellStyle="Porcentaje"/>
    <tableColumn id="26" xr3:uid="{0B545C41-E67D-4483-9C98-FA37E48CE39B}" name="Columna14" dataDxfId="30" totalsRowDxfId="29" dataCellStyle="Porcentaje">
      <calculatedColumnFormula>IFERROR(YEAR(VLOOKUP("Income Statement*",'7.TIKR_IS'!$A:$K,COLUMN(I3),FALSE)),H2+1)</calculatedColumnFormula>
    </tableColumn>
    <tableColumn id="27" xr3:uid="{152C1E1C-8951-461E-9BC4-D433CDB80813}" name="Columna15" dataDxfId="28" totalsRowDxfId="27" dataCellStyle="Porcentaje">
      <calculatedColumnFormula>IFERROR(YEAR(VLOOKUP("Income Statement*",'7.TIKR_IS'!$A:$K,COLUMN(J3),FALSE)),I2+1)</calculatedColumnFormula>
    </tableColumn>
    <tableColumn id="28" xr3:uid="{8F4400F9-2BC0-43E5-A7FC-855F8DABA093}" name="Columna16" dataDxfId="26" totalsRowDxfId="25" dataCellStyle="Porcentaje">
      <calculatedColumnFormula>IFERROR(YEAR(VLOOKUP("Income Statement*",'7.TIKR_IS'!$A:$K,COLUMN(K3),FALSE)),J2+1)</calculatedColumnFormula>
    </tableColumn>
    <tableColumn id="9" xr3:uid="{6B4891E9-5875-43D0-AAAA-C9094399640F}" name="Columna9" dataDxfId="24" totalsRowDxfId="23" dataCellStyle="Porcentaje"/>
    <tableColumn id="10" xr3:uid="{41432F5A-0AFB-469C-9CA5-86091AA8061A}" name="Columna10" dataDxfId="22" totalsRowDxfId="21" dataCellStyle="Porcentaje"/>
    <tableColumn id="11" xr3:uid="{A781D52B-7709-4D76-9137-322146222404}" name="Columna11" dataDxfId="20" totalsRowDxfId="19" dataCellStyle="Porcentaje"/>
    <tableColumn id="12" xr3:uid="{51F4EFE8-3D05-4C21-A43C-A2D80156AEF7}" name="Columna12" dataDxfId="18" totalsRowDxfId="17" dataCellStyle="Porcentaje"/>
    <tableColumn id="13" xr3:uid="{A5653B19-9C81-444D-A0FD-CC4A9CE1A8AA}" name="Columna13" dataDxfId="16" totalsRowDxfId="15" dataCellStyle="Porcentaje"/>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dimension ref="A1:O29"/>
  <sheetViews>
    <sheetView showGridLines="0" zoomScale="85" zoomScaleNormal="85" workbookViewId="0">
      <selection activeCell="B16" sqref="B16"/>
    </sheetView>
  </sheetViews>
  <sheetFormatPr baseColWidth="10" defaultColWidth="0" defaultRowHeight="15" zeroHeight="1" x14ac:dyDescent="0.2"/>
  <cols>
    <col min="1" max="1" width="4.33203125" customWidth="1"/>
    <col min="2" max="2" width="246.5" customWidth="1"/>
    <col min="3" max="3" width="13.5" customWidth="1"/>
    <col min="4" max="15" width="0" hidden="1" customWidth="1"/>
    <col min="16" max="16384" width="11.5" hidden="1"/>
  </cols>
  <sheetData>
    <row r="1" spans="2:2" ht="87" customHeight="1" x14ac:dyDescent="0.2"/>
    <row r="2" spans="2:2" ht="22" x14ac:dyDescent="0.2">
      <c r="B2" s="177" t="s">
        <v>160</v>
      </c>
    </row>
    <row r="3" spans="2:2" ht="10" customHeight="1" x14ac:dyDescent="0.2">
      <c r="B3" s="20"/>
    </row>
    <row r="4" spans="2:2" ht="17" customHeight="1" x14ac:dyDescent="0.2">
      <c r="B4" s="99" t="s">
        <v>219</v>
      </c>
    </row>
    <row r="5" spans="2:2" ht="10" customHeight="1" x14ac:dyDescent="0.2">
      <c r="B5" s="99"/>
    </row>
    <row r="6" spans="2:2" ht="17" customHeight="1" x14ac:dyDescent="0.2">
      <c r="B6" s="99" t="s">
        <v>156</v>
      </c>
    </row>
    <row r="7" spans="2:2" ht="10" customHeight="1" x14ac:dyDescent="0.2">
      <c r="B7" s="99"/>
    </row>
    <row r="8" spans="2:2" ht="17" customHeight="1" x14ac:dyDescent="0.2">
      <c r="B8" s="99" t="s">
        <v>220</v>
      </c>
    </row>
    <row r="9" spans="2:2" ht="10" customHeight="1" x14ac:dyDescent="0.2">
      <c r="B9" s="99"/>
    </row>
    <row r="10" spans="2:2" ht="17" customHeight="1" x14ac:dyDescent="0.2">
      <c r="B10" s="100" t="s">
        <v>132</v>
      </c>
    </row>
    <row r="11" spans="2:2" ht="10" customHeight="1" x14ac:dyDescent="0.2">
      <c r="B11" s="100"/>
    </row>
    <row r="12" spans="2:2" ht="34" x14ac:dyDescent="0.2">
      <c r="B12" s="235" t="s">
        <v>177</v>
      </c>
    </row>
    <row r="13" spans="2:2" ht="10" customHeight="1" x14ac:dyDescent="0.2">
      <c r="B13" s="100"/>
    </row>
    <row r="14" spans="2:2" ht="17" customHeight="1" x14ac:dyDescent="0.2">
      <c r="B14" s="100" t="s">
        <v>180</v>
      </c>
    </row>
    <row r="15" spans="2:2" ht="16" x14ac:dyDescent="0.2">
      <c r="B15" s="53" t="s">
        <v>154</v>
      </c>
    </row>
    <row r="16" spans="2:2" ht="22" x14ac:dyDescent="0.2">
      <c r="B16" s="177" t="s">
        <v>222</v>
      </c>
    </row>
    <row r="17" spans="2:2" ht="10" customHeight="1" x14ac:dyDescent="0.2">
      <c r="B17" s="53"/>
    </row>
    <row r="18" spans="2:2" ht="18" x14ac:dyDescent="0.2">
      <c r="B18" s="241" t="s">
        <v>212</v>
      </c>
    </row>
    <row r="19" spans="2:2" ht="10" customHeight="1" x14ac:dyDescent="0.2">
      <c r="B19" s="241"/>
    </row>
    <row r="20" spans="2:2" ht="18" x14ac:dyDescent="0.2">
      <c r="B20" s="241" t="s">
        <v>213</v>
      </c>
    </row>
    <row r="21" spans="2:2" ht="10" customHeight="1" x14ac:dyDescent="0.2">
      <c r="B21" s="241"/>
    </row>
    <row r="22" spans="2:2" ht="17" customHeight="1" x14ac:dyDescent="0.2">
      <c r="B22" s="99" t="s">
        <v>223</v>
      </c>
    </row>
    <row r="23" spans="2:2" ht="10" customHeight="1" x14ac:dyDescent="0.2">
      <c r="B23" s="53"/>
    </row>
    <row r="24" spans="2:2" ht="17" customHeight="1" x14ac:dyDescent="0.2">
      <c r="B24" s="99" t="s">
        <v>214</v>
      </c>
    </row>
    <row r="25" spans="2:2" ht="8" customHeight="1" x14ac:dyDescent="0.2">
      <c r="B25" s="53"/>
    </row>
    <row r="26" spans="2:2" ht="17" customHeight="1" x14ac:dyDescent="0.2"/>
    <row r="27" spans="2:2" x14ac:dyDescent="0.2"/>
    <row r="28" spans="2:2" x14ac:dyDescent="0.2"/>
    <row r="29" spans="2:2"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8"/>
  <sheetViews>
    <sheetView showGridLines="0" tabSelected="1" zoomScale="77" zoomScaleNormal="77" workbookViewId="0">
      <pane xSplit="1" ySplit="2" topLeftCell="B3" activePane="bottomRight" state="frozen"/>
      <selection pane="topRight" activeCell="B1" sqref="B1"/>
      <selection pane="bottomLeft" activeCell="A3" sqref="A3"/>
      <selection pane="bottomRight" activeCell="J19" sqref="J19"/>
    </sheetView>
  </sheetViews>
  <sheetFormatPr baseColWidth="10" defaultColWidth="0" defaultRowHeight="16" zeroHeight="1" x14ac:dyDescent="0.2"/>
  <cols>
    <col min="1" max="1" width="45.6640625" style="4" customWidth="1"/>
    <col min="2" max="16" width="12.33203125" style="5" customWidth="1"/>
    <col min="17" max="17" width="10.83203125" style="4" customWidth="1"/>
    <col min="18" max="18" width="28.5" style="4" customWidth="1"/>
    <col min="19" max="19" width="19.1640625" style="5" customWidth="1"/>
    <col min="20" max="20" width="1.33203125" style="6" customWidth="1"/>
    <col min="21" max="22" width="11.5" style="6" hidden="1" customWidth="1"/>
    <col min="23" max="24" width="0" style="6" hidden="1" customWidth="1"/>
    <col min="25" max="16384" width="11.5" style="6" hidden="1"/>
  </cols>
  <sheetData>
    <row r="1" spans="1:22" s="2" customFormat="1" ht="50" customHeight="1" x14ac:dyDescent="0.2">
      <c r="A1"/>
      <c r="B1" s="17" t="s">
        <v>68</v>
      </c>
      <c r="C1" s="3"/>
      <c r="D1" s="3"/>
      <c r="E1" s="3"/>
      <c r="F1" s="3"/>
      <c r="G1" s="3"/>
      <c r="H1" s="3"/>
      <c r="I1" s="3"/>
      <c r="J1" s="3"/>
      <c r="K1" s="3"/>
      <c r="L1" s="3"/>
      <c r="M1" s="3"/>
      <c r="N1" s="3"/>
      <c r="O1" s="314" t="e" vm="1">
        <v>#VALUE!</v>
      </c>
      <c r="P1" s="314"/>
      <c r="Q1"/>
      <c r="R1"/>
      <c r="S1" s="3"/>
      <c r="T1" s="1"/>
      <c r="U1" s="1"/>
    </row>
    <row r="2" spans="1:22" ht="35" customHeight="1" x14ac:dyDescent="0.2">
      <c r="A2" s="103" t="s">
        <v>66</v>
      </c>
      <c r="B2" s="55">
        <v>2016</v>
      </c>
      <c r="C2" s="55">
        <f>IFERROR(IF(VLOOKUP("Income Statement*",'7.TIKR_IS'!$A:$K,COLUMN(C3),FALSE)="","",IFERROR(YEAR(VLOOKUP("Income Statement*",'7.TIKR_IS'!$A:$K,COLUMN(C3),FALSE)),B2+1)),"")</f>
        <v>2017</v>
      </c>
      <c r="D2" s="55">
        <f>IFERROR(IF(VLOOKUP("Income Statement*",'7.TIKR_IS'!$A:$K,COLUMN(D3),FALSE)="","",IFERROR(YEAR(VLOOKUP("Income Statement*",'7.TIKR_IS'!$A:$K,COLUMN(D3),FALSE)),C2+1)),"")</f>
        <v>2018</v>
      </c>
      <c r="E2" s="55">
        <f>IFERROR(IF(VLOOKUP("Income Statement*",'7.TIKR_IS'!$A:$K,COLUMN(E3),FALSE)="","",IFERROR(YEAR(VLOOKUP("Income Statement*",'7.TIKR_IS'!$A:$K,COLUMN(E3),FALSE)),D2+1)),"")</f>
        <v>2019</v>
      </c>
      <c r="F2" s="55">
        <f>IFERROR(IF(VLOOKUP("Income Statement*",'7.TIKR_IS'!$A:$K,COLUMN(F3),FALSE)="","",IFERROR(YEAR(VLOOKUP("Income Statement*",'7.TIKR_IS'!$A:$K,COLUMN(F3),FALSE)),E2+1)),"")</f>
        <v>2020</v>
      </c>
      <c r="G2" s="55">
        <f>IFERROR(IF(VLOOKUP("Income Statement*",'7.TIKR_IS'!$A:$K,COLUMN(G3),FALSE)="","",IFERROR(YEAR(VLOOKUP("Income Statement*",'7.TIKR_IS'!$A:$K,COLUMN(G3),FALSE)),F2+1)),"")</f>
        <v>2021</v>
      </c>
      <c r="H2" s="55">
        <f>IFERROR(IF(VLOOKUP("Income Statement*",'7.TIKR_IS'!$A:$K,COLUMN(H3),FALSE)="","",IFERROR(YEAR(VLOOKUP("Income Statement*",'7.TIKR_IS'!$A:$K,COLUMN(H3),FALSE)),G2+1)),"")</f>
        <v>2022</v>
      </c>
      <c r="I2" s="55">
        <f>IFERROR(IF(VLOOKUP("Income Statement*",'7.TIKR_IS'!$A:$K,COLUMN(I3),FALSE)="","",IFERROR(YEAR(VLOOKUP("Income Statement*",'7.TIKR_IS'!$A:$K,COLUMN(I3),FALSE)),H2+1)),"")</f>
        <v>2023</v>
      </c>
      <c r="J2" s="55">
        <f>IFERROR(IF(VLOOKUP("Income Statement*",'7.TIKR_IS'!$A:$K,COLUMN(J3),FALSE)="","",IFERROR(YEAR(VLOOKUP("Income Statement*",'7.TIKR_IS'!$A:$K,COLUMN(J3),FALSE)),I2+1)),"")</f>
        <v>2024</v>
      </c>
      <c r="K2" s="55">
        <f>IFERROR(IF(VLOOKUP("Income Statement*",'7.TIKR_IS'!$A:$K,COLUMN(K3),FALSE)="","",IFERROR(YEAR(VLOOKUP("Income Statement*",'7.TIKR_IS'!$A:$K,COLUMN(K3),FALSE)),J2+1)),"")</f>
        <v>2025</v>
      </c>
      <c r="L2" s="8" t="str">
        <f>IF(K2&lt;&gt;"",(K2+1)&amp;"e","")</f>
        <v>2026e</v>
      </c>
      <c r="M2" s="8" t="str">
        <f>IF(L2&lt;&gt;"",(LEFT(L2,4)+1)&amp;"e","")</f>
        <v>2027e</v>
      </c>
      <c r="N2" s="8" t="str">
        <f t="shared" ref="N2:P2" si="0">IF(M2&lt;&gt;"",(LEFT(M2,4)+1)&amp;"e","")</f>
        <v>2028e</v>
      </c>
      <c r="O2" s="8" t="str">
        <f t="shared" si="0"/>
        <v>2029e</v>
      </c>
      <c r="P2" s="8" t="str">
        <f t="shared" si="0"/>
        <v>2030e</v>
      </c>
      <c r="R2" s="263"/>
      <c r="S2" s="264" t="str">
        <f>"Promedio "&amp;CHAR(10)&amp;B2&amp;" - "&amp;K2</f>
        <v>Promedio 
2016 - 2025</v>
      </c>
      <c r="T2" s="27"/>
      <c r="U2" s="27"/>
      <c r="V2" s="27"/>
    </row>
    <row r="3" spans="1:22" ht="25" customHeight="1" thickBot="1" x14ac:dyDescent="0.25">
      <c r="A3" s="112" t="s">
        <v>7</v>
      </c>
      <c r="B3" s="105">
        <v>32376</v>
      </c>
      <c r="C3" s="56">
        <v>34350</v>
      </c>
      <c r="D3" s="56">
        <v>36397</v>
      </c>
      <c r="E3" s="56">
        <v>39117</v>
      </c>
      <c r="F3" s="56">
        <v>37403</v>
      </c>
      <c r="G3" s="56">
        <v>44538</v>
      </c>
      <c r="H3" s="56">
        <v>46710</v>
      </c>
      <c r="I3" s="56">
        <v>51217</v>
      </c>
      <c r="J3" s="56">
        <v>51362</v>
      </c>
      <c r="K3" s="56">
        <v>46309</v>
      </c>
      <c r="L3" s="192">
        <f>IFERROR(K3*(1+L4),"")</f>
        <v>48325.731597823833</v>
      </c>
      <c r="M3" s="9">
        <f t="shared" ref="M3:P3" si="1">IFERROR(L3*(1+M4),"")</f>
        <v>50430.290752659501</v>
      </c>
      <c r="N3" s="9">
        <f t="shared" si="1"/>
        <v>52626.502306533082</v>
      </c>
      <c r="O3" s="9">
        <f t="shared" si="1"/>
        <v>54918.357671246944</v>
      </c>
      <c r="P3" s="113">
        <f t="shared" si="1"/>
        <v>57310.022082402327</v>
      </c>
      <c r="Q3" s="6"/>
      <c r="R3" s="64" t="s">
        <v>199</v>
      </c>
      <c r="S3" s="260">
        <f>IFERROR(AVERAGE(C4:K4),"")</f>
        <v>4.3549452543217015E-2</v>
      </c>
      <c r="T3" s="27"/>
      <c r="U3" s="27"/>
      <c r="V3" s="27"/>
    </row>
    <row r="4" spans="1:22" ht="25" customHeight="1" thickTop="1" thickBot="1" x14ac:dyDescent="0.25">
      <c r="A4" s="67" t="s">
        <v>11</v>
      </c>
      <c r="B4" s="106"/>
      <c r="C4" s="10">
        <f t="shared" ref="C4:H4" si="2">IFERROR((C3-B3)/B3,"")</f>
        <v>6.0971089696071165E-2</v>
      </c>
      <c r="D4" s="10">
        <f t="shared" si="2"/>
        <v>5.9592430858806403E-2</v>
      </c>
      <c r="E4" s="10">
        <f t="shared" si="2"/>
        <v>7.4731433909388134E-2</v>
      </c>
      <c r="F4" s="10">
        <f>IFERROR((F3-E3)/E3,"")</f>
        <v>-4.3817266150267146E-2</v>
      </c>
      <c r="G4" s="10">
        <f t="shared" si="2"/>
        <v>0.1907600994572628</v>
      </c>
      <c r="H4" s="10">
        <f t="shared" si="2"/>
        <v>4.8767344739323724E-2</v>
      </c>
      <c r="I4" s="10">
        <f t="shared" ref="I4" si="3">IFERROR((I3-H3)/H3,"")</f>
        <v>9.6488974523656609E-2</v>
      </c>
      <c r="J4" s="10">
        <f t="shared" ref="J4" si="4">IFERROR((J3-I3)/I3,"")</f>
        <v>2.8310912392369722E-3</v>
      </c>
      <c r="K4" s="10">
        <f t="shared" ref="K4" si="5">IFERROR((K3-J3)/J3,"")</f>
        <v>-9.8380125384525521E-2</v>
      </c>
      <c r="L4" s="256">
        <f>S3</f>
        <v>4.3549452543217015E-2</v>
      </c>
      <c r="M4" s="257">
        <f>L4</f>
        <v>4.3549452543217015E-2</v>
      </c>
      <c r="N4" s="257">
        <f t="shared" ref="N4:P4" si="6">M4</f>
        <v>4.3549452543217015E-2</v>
      </c>
      <c r="O4" s="257">
        <f t="shared" si="6"/>
        <v>4.3549452543217015E-2</v>
      </c>
      <c r="P4" s="258">
        <f t="shared" si="6"/>
        <v>4.3549452543217015E-2</v>
      </c>
      <c r="Q4" s="6"/>
      <c r="R4" s="65" t="s">
        <v>57</v>
      </c>
      <c r="S4" s="261">
        <f>IFERROR(AVERAGE(B10:K10),"")</f>
        <v>0.1236894446346716</v>
      </c>
      <c r="T4" s="27"/>
      <c r="U4" s="27"/>
      <c r="V4" s="27"/>
    </row>
    <row r="5" spans="1:22" ht="25" customHeight="1" thickTop="1" x14ac:dyDescent="0.2">
      <c r="A5" s="115" t="s">
        <v>2</v>
      </c>
      <c r="B5" s="107">
        <f t="shared" ref="B5:H5" si="7">B9-B8</f>
        <v>5164</v>
      </c>
      <c r="C5" s="84">
        <f t="shared" si="7"/>
        <v>5465</v>
      </c>
      <c r="D5" s="84">
        <f t="shared" si="7"/>
        <v>5219</v>
      </c>
      <c r="E5" s="84">
        <f t="shared" si="7"/>
        <v>5492</v>
      </c>
      <c r="F5" s="84">
        <f t="shared" si="7"/>
        <v>4234</v>
      </c>
      <c r="G5" s="84">
        <f t="shared" si="7"/>
        <v>8028</v>
      </c>
      <c r="H5" s="84">
        <f t="shared" si="7"/>
        <v>7515</v>
      </c>
      <c r="I5" s="84">
        <f t="shared" ref="I5:K5" si="8">I9-I8</f>
        <v>6618</v>
      </c>
      <c r="J5" s="84">
        <f t="shared" si="8"/>
        <v>7550</v>
      </c>
      <c r="K5" s="84">
        <f t="shared" si="8"/>
        <v>4477</v>
      </c>
      <c r="L5" s="107">
        <f>IFERROR(L9-L8,"")</f>
        <v>6786.1337286200242</v>
      </c>
      <c r="M5" s="84">
        <f t="shared" ref="M5:P5" si="9">IFERROR(M9-M8,"")</f>
        <v>7081.6661373864863</v>
      </c>
      <c r="N5" s="84">
        <f t="shared" si="9"/>
        <v>7390.0688207635058</v>
      </c>
      <c r="O5" s="84">
        <f t="shared" si="9"/>
        <v>7711.9022721644533</v>
      </c>
      <c r="P5" s="116">
        <f t="shared" si="9"/>
        <v>8047.7513941840061</v>
      </c>
      <c r="Q5" s="6"/>
      <c r="R5" s="64" t="s">
        <v>56</v>
      </c>
      <c r="S5" s="260">
        <f>IFERROR(AVERAGE(B17:K17),"")</f>
        <v>0.18914620842929114</v>
      </c>
      <c r="T5" s="27"/>
      <c r="U5" s="27"/>
      <c r="V5" s="27"/>
    </row>
    <row r="6" spans="1:22" ht="25" customHeight="1" x14ac:dyDescent="0.2">
      <c r="A6" s="67" t="s">
        <v>8</v>
      </c>
      <c r="B6" s="106">
        <f t="shared" ref="B6:H6" si="10">IFERROR((B5/B3),"")</f>
        <v>0.15950086483815171</v>
      </c>
      <c r="C6" s="10">
        <f t="shared" si="10"/>
        <v>0.15909752547307132</v>
      </c>
      <c r="D6" s="10">
        <f t="shared" si="10"/>
        <v>0.14339093881363849</v>
      </c>
      <c r="E6" s="10">
        <f t="shared" si="10"/>
        <v>0.14039931487588517</v>
      </c>
      <c r="F6" s="10">
        <f t="shared" si="10"/>
        <v>0.11319947597786274</v>
      </c>
      <c r="G6" s="10">
        <f t="shared" si="10"/>
        <v>0.18025057254479321</v>
      </c>
      <c r="H6" s="10">
        <f t="shared" si="10"/>
        <v>0.16088631984585741</v>
      </c>
      <c r="I6" s="10">
        <f t="shared" ref="I6:K6" si="11">IFERROR((I5/I3),"")</f>
        <v>0.12921490911220884</v>
      </c>
      <c r="J6" s="10">
        <f t="shared" si="11"/>
        <v>0.1469958334955804</v>
      </c>
      <c r="K6" s="10">
        <f t="shared" si="11"/>
        <v>9.667667192122481E-2</v>
      </c>
      <c r="L6" s="106">
        <f>IFERROR(L5/L3,"")</f>
        <v>0.14042485243877015</v>
      </c>
      <c r="M6" s="10">
        <f>IFERROR(M5/M3,"")</f>
        <v>0.14042485243877018</v>
      </c>
      <c r="N6" s="10">
        <f>IFERROR(N5/N3,"")</f>
        <v>0.14042485243877018</v>
      </c>
      <c r="O6" s="10">
        <f>IFERROR(O5/O3,"")</f>
        <v>0.14042485243877015</v>
      </c>
      <c r="P6" s="114">
        <f>IFERROR(P5/P3,"")</f>
        <v>0.14042485243877015</v>
      </c>
      <c r="Q6" s="6"/>
      <c r="R6" s="66" t="s">
        <v>65</v>
      </c>
      <c r="S6" s="262">
        <f>IFERROR(AVERAGE(C26:K26),"")</f>
        <v>-1.7331412137016184E-2</v>
      </c>
      <c r="T6" s="27"/>
      <c r="U6" s="27"/>
      <c r="V6" s="27"/>
    </row>
    <row r="7" spans="1:22" ht="25" customHeight="1" x14ac:dyDescent="0.2">
      <c r="A7" s="67" t="s">
        <v>11</v>
      </c>
      <c r="B7" s="106"/>
      <c r="C7" s="10">
        <f>IFERROR((C5-B5)/B5,"")</f>
        <v>5.8288148721920993E-2</v>
      </c>
      <c r="D7" s="10">
        <f t="shared" ref="D7:P7" si="12">IFERROR((D5-C5)/C5,"")</f>
        <v>-4.5013723696248856E-2</v>
      </c>
      <c r="E7" s="10">
        <f t="shared" si="12"/>
        <v>5.2308871431308683E-2</v>
      </c>
      <c r="F7" s="10">
        <f t="shared" si="12"/>
        <v>-0.22906045156591406</v>
      </c>
      <c r="G7" s="10">
        <f t="shared" si="12"/>
        <v>0.89607935758148327</v>
      </c>
      <c r="H7" s="10">
        <f t="shared" si="12"/>
        <v>-6.3901345291479825E-2</v>
      </c>
      <c r="I7" s="10">
        <f t="shared" si="12"/>
        <v>-0.11936127744510978</v>
      </c>
      <c r="J7" s="10">
        <f t="shared" si="12"/>
        <v>0.14082804472650348</v>
      </c>
      <c r="K7" s="10">
        <f t="shared" si="12"/>
        <v>-0.4070198675496689</v>
      </c>
      <c r="L7" s="106">
        <f t="shared" si="12"/>
        <v>0.51577702225151312</v>
      </c>
      <c r="M7" s="10">
        <f t="shared" si="12"/>
        <v>4.3549452543217022E-2</v>
      </c>
      <c r="N7" s="10">
        <f t="shared" si="12"/>
        <v>4.3549452543216974E-2</v>
      </c>
      <c r="O7" s="10">
        <f t="shared" si="12"/>
        <v>4.3549452543216946E-2</v>
      </c>
      <c r="P7" s="114">
        <f t="shared" si="12"/>
        <v>4.3549452543216953E-2</v>
      </c>
      <c r="Q7" s="6"/>
      <c r="R7" s="6"/>
      <c r="S7" s="57"/>
      <c r="T7" s="27"/>
      <c r="U7" s="27"/>
      <c r="V7" s="27"/>
    </row>
    <row r="8" spans="1:22" ht="25" customHeight="1" x14ac:dyDescent="0.2">
      <c r="A8" s="117" t="s">
        <v>198</v>
      </c>
      <c r="B8" s="108">
        <v>-662</v>
      </c>
      <c r="C8" s="85">
        <v>-716</v>
      </c>
      <c r="D8" s="85">
        <v>-774</v>
      </c>
      <c r="E8" s="85">
        <v>-720</v>
      </c>
      <c r="F8" s="85">
        <v>-1119</v>
      </c>
      <c r="G8" s="85">
        <v>-797</v>
      </c>
      <c r="H8" s="85">
        <v>-840</v>
      </c>
      <c r="I8" s="85">
        <v>-703</v>
      </c>
      <c r="J8" s="85">
        <v>-796</v>
      </c>
      <c r="K8" s="85">
        <v>-775</v>
      </c>
      <c r="L8" s="110">
        <f>IFERROR(K8*(1+L4),"")</f>
        <v>-808.75082572099313</v>
      </c>
      <c r="M8" s="86">
        <f t="shared" ref="M8:P8" si="13">IFERROR(L8*(1+M4),"")</f>
        <v>-843.97148142501703</v>
      </c>
      <c r="N8" s="86">
        <f t="shared" si="13"/>
        <v>-880.72597740316428</v>
      </c>
      <c r="O8" s="86">
        <f t="shared" si="13"/>
        <v>-919.08111155966174</v>
      </c>
      <c r="P8" s="118">
        <f t="shared" si="13"/>
        <v>-959.10659081089636</v>
      </c>
      <c r="Q8" s="6"/>
      <c r="R8" s="6"/>
      <c r="S8" s="7"/>
      <c r="T8" s="27"/>
      <c r="U8" s="27"/>
      <c r="V8" s="27"/>
    </row>
    <row r="9" spans="1:22" ht="25" customHeight="1" thickBot="1" x14ac:dyDescent="0.25">
      <c r="A9" s="112" t="s">
        <v>3</v>
      </c>
      <c r="B9" s="109">
        <v>4502</v>
      </c>
      <c r="C9" s="87">
        <v>4749</v>
      </c>
      <c r="D9" s="87">
        <v>4445</v>
      </c>
      <c r="E9" s="87">
        <v>4772</v>
      </c>
      <c r="F9" s="87">
        <v>3115</v>
      </c>
      <c r="G9" s="87">
        <v>7231</v>
      </c>
      <c r="H9" s="87">
        <v>6675</v>
      </c>
      <c r="I9" s="87">
        <v>5915</v>
      </c>
      <c r="J9" s="87">
        <v>6754</v>
      </c>
      <c r="K9" s="87">
        <v>3702</v>
      </c>
      <c r="L9" s="107">
        <f>IFERROR(L3*L10,"")</f>
        <v>5977.3829028990313</v>
      </c>
      <c r="M9" s="84">
        <f t="shared" ref="M9:P9" si="14">IFERROR(M3*M10,"")</f>
        <v>6237.6946559614689</v>
      </c>
      <c r="N9" s="84">
        <f t="shared" si="14"/>
        <v>6509.3428433603412</v>
      </c>
      <c r="O9" s="84">
        <f t="shared" si="14"/>
        <v>6792.8211606047917</v>
      </c>
      <c r="P9" s="116">
        <f t="shared" si="14"/>
        <v>7088.6448033731094</v>
      </c>
      <c r="Q9" s="6"/>
      <c r="R9" s="6"/>
      <c r="T9" s="27"/>
      <c r="U9" s="27"/>
      <c r="V9" s="27"/>
    </row>
    <row r="10" spans="1:22" ht="25" customHeight="1" thickTop="1" thickBot="1" x14ac:dyDescent="0.25">
      <c r="A10" s="67" t="s">
        <v>9</v>
      </c>
      <c r="B10" s="106">
        <f t="shared" ref="B10" si="15">IFERROR((B9/B3),"")</f>
        <v>0.13905361996540647</v>
      </c>
      <c r="C10" s="10">
        <f t="shared" ref="C10:K10" si="16">IFERROR((C9/C3),"")</f>
        <v>0.13825327510917029</v>
      </c>
      <c r="D10" s="10">
        <f t="shared" si="16"/>
        <v>0.12212544989971701</v>
      </c>
      <c r="E10" s="10">
        <f t="shared" si="16"/>
        <v>0.12199299537285579</v>
      </c>
      <c r="F10" s="10">
        <f t="shared" si="16"/>
        <v>8.3282089671951443E-2</v>
      </c>
      <c r="G10" s="10">
        <f t="shared" si="16"/>
        <v>0.16235574116484799</v>
      </c>
      <c r="H10" s="10">
        <f t="shared" si="16"/>
        <v>0.14290301862556198</v>
      </c>
      <c r="I10" s="10">
        <f t="shared" si="16"/>
        <v>0.11548899779370131</v>
      </c>
      <c r="J10" s="10">
        <f t="shared" si="16"/>
        <v>0.13149799462637748</v>
      </c>
      <c r="K10" s="10">
        <f t="shared" si="16"/>
        <v>7.9941264117126265E-2</v>
      </c>
      <c r="L10" s="256">
        <f>S4</f>
        <v>0.1236894446346716</v>
      </c>
      <c r="M10" s="257">
        <f>L10</f>
        <v>0.1236894446346716</v>
      </c>
      <c r="N10" s="257">
        <f t="shared" ref="N10:P10" si="17">M10</f>
        <v>0.1236894446346716</v>
      </c>
      <c r="O10" s="257">
        <f t="shared" si="17"/>
        <v>0.1236894446346716</v>
      </c>
      <c r="P10" s="258">
        <f t="shared" si="17"/>
        <v>0.1236894446346716</v>
      </c>
      <c r="Q10" s="259"/>
      <c r="R10" s="6"/>
      <c r="S10" s="255"/>
      <c r="T10" s="27"/>
      <c r="U10" s="27"/>
      <c r="V10" s="27"/>
    </row>
    <row r="11" spans="1:22" ht="25" customHeight="1" thickTop="1" x14ac:dyDescent="0.2">
      <c r="A11" s="67" t="s">
        <v>11</v>
      </c>
      <c r="B11" s="106"/>
      <c r="C11" s="10">
        <f>IFERROR((C9-B9)/B9,"")</f>
        <v>5.4864504664593514E-2</v>
      </c>
      <c r="D11" s="10">
        <f t="shared" ref="D11:P11" si="18">IFERROR((D9-C9)/C9,"")</f>
        <v>-6.4013476521372917E-2</v>
      </c>
      <c r="E11" s="10">
        <f t="shared" si="18"/>
        <v>7.3565804274465699E-2</v>
      </c>
      <c r="F11" s="10">
        <f t="shared" si="18"/>
        <v>-0.34723386420787927</v>
      </c>
      <c r="G11" s="10">
        <f t="shared" si="18"/>
        <v>1.3213483146067415</v>
      </c>
      <c r="H11" s="10">
        <f t="shared" si="18"/>
        <v>-7.6891163047987834E-2</v>
      </c>
      <c r="I11" s="10">
        <f t="shared" si="18"/>
        <v>-0.11385767790262172</v>
      </c>
      <c r="J11" s="10">
        <f t="shared" si="18"/>
        <v>0.14184277261200337</v>
      </c>
      <c r="K11" s="10">
        <f t="shared" si="18"/>
        <v>-0.45188036718981345</v>
      </c>
      <c r="L11" s="106">
        <f t="shared" si="18"/>
        <v>0.61463611639628069</v>
      </c>
      <c r="M11" s="10">
        <f t="shared" si="18"/>
        <v>4.3549452543216939E-2</v>
      </c>
      <c r="N11" s="10">
        <f t="shared" si="18"/>
        <v>4.3549452543217008E-2</v>
      </c>
      <c r="O11" s="10">
        <f t="shared" si="18"/>
        <v>4.3549452543217002E-2</v>
      </c>
      <c r="P11" s="114">
        <f t="shared" si="18"/>
        <v>4.3549452543216877E-2</v>
      </c>
      <c r="Q11" s="6"/>
      <c r="R11" s="6"/>
      <c r="S11" s="255"/>
      <c r="T11" s="27"/>
      <c r="U11" s="27"/>
      <c r="V11" s="27"/>
    </row>
    <row r="12" spans="1:22" ht="25" customHeight="1" x14ac:dyDescent="0.2">
      <c r="A12" s="269" t="s">
        <v>197</v>
      </c>
      <c r="B12" s="108">
        <v>-31</v>
      </c>
      <c r="C12" s="85">
        <v>-86</v>
      </c>
      <c r="D12" s="85">
        <v>-124</v>
      </c>
      <c r="E12" s="85">
        <v>-131</v>
      </c>
      <c r="F12" s="85">
        <v>-151</v>
      </c>
      <c r="G12" s="85">
        <v>-296</v>
      </c>
      <c r="H12" s="85">
        <v>-299</v>
      </c>
      <c r="I12" s="85">
        <v>-291</v>
      </c>
      <c r="J12" s="85">
        <v>-269</v>
      </c>
      <c r="K12" s="85">
        <v>-297</v>
      </c>
      <c r="L12" s="110">
        <f>IFERROR(-TIKR_Cálculos!$B$27*SUM('3.ROIC'!L6:L7),"")</f>
        <v>-432.5969084282217</v>
      </c>
      <c r="M12" s="86">
        <f>IFERROR(-TIKR_Cálculos!$B$27*SUM('3.ROIC'!M6:M7),"")</f>
        <v>-451.43626696215887</v>
      </c>
      <c r="N12" s="86">
        <f>IFERROR(-TIKR_Cálculos!$B$27*SUM('3.ROIC'!N6:N7),"")</f>
        <v>-471.0960692465145</v>
      </c>
      <c r="O12" s="86">
        <f>IFERROR(-TIKR_Cálculos!$B$27*SUM('3.ROIC'!O6:O7),"")</f>
        <v>-491.61204515746158</v>
      </c>
      <c r="P12" s="118">
        <f>IFERROR(-TIKR_Cálculos!$B$27*SUM('3.ROIC'!P6:P7),"")</f>
        <v>-513.02148058772025</v>
      </c>
      <c r="Q12" s="6"/>
      <c r="R12" s="6"/>
      <c r="S12" s="255"/>
      <c r="T12" s="27"/>
      <c r="U12" s="27"/>
      <c r="V12" s="27"/>
    </row>
    <row r="13" spans="1:22" ht="25" customHeight="1" x14ac:dyDescent="0.2">
      <c r="A13" s="269" t="s">
        <v>200</v>
      </c>
      <c r="B13" s="108">
        <v>12</v>
      </c>
      <c r="C13" s="85">
        <v>27</v>
      </c>
      <c r="D13" s="85">
        <v>70</v>
      </c>
      <c r="E13" s="85">
        <v>82</v>
      </c>
      <c r="F13" s="85">
        <v>62</v>
      </c>
      <c r="G13" s="85">
        <v>34</v>
      </c>
      <c r="H13" s="85">
        <v>94</v>
      </c>
      <c r="I13" s="85">
        <v>297</v>
      </c>
      <c r="J13" s="85">
        <v>430</v>
      </c>
      <c r="K13" s="85">
        <v>404</v>
      </c>
      <c r="L13" s="110">
        <f>IFERROR(TIKR_Cálculos!$B$26*'3.ROIC'!L5,"")</f>
        <v>225.60672695494353</v>
      </c>
      <c r="M13" s="86">
        <f>IFERROR(TIKR_Cálculos!$B$26*'3.ROIC'!M5,"")</f>
        <v>235.43177640389831</v>
      </c>
      <c r="N13" s="86">
        <f>IFERROR(TIKR_Cálculos!$B$26*'3.ROIC'!N5,"")</f>
        <v>245.68470137756518</v>
      </c>
      <c r="O13" s="86">
        <f>IFERROR(TIKR_Cálculos!$B$26*'3.ROIC'!O5,"")</f>
        <v>256.38413562080189</v>
      </c>
      <c r="P13" s="118">
        <f>IFERROR(TIKR_Cálculos!$B$26*'3.ROIC'!P5,"")</f>
        <v>267.54952436785368</v>
      </c>
      <c r="Q13" s="6"/>
      <c r="R13" s="316" t="s">
        <v>158</v>
      </c>
      <c r="T13" s="27"/>
      <c r="U13" s="27"/>
      <c r="V13" s="27"/>
    </row>
    <row r="14" spans="1:22" ht="25" customHeight="1" x14ac:dyDescent="0.2">
      <c r="A14" s="67" t="s">
        <v>109</v>
      </c>
      <c r="B14" s="110">
        <f>B12+B13</f>
        <v>-19</v>
      </c>
      <c r="C14" s="86">
        <f t="shared" ref="C14:K14" si="19">C12+C13</f>
        <v>-59</v>
      </c>
      <c r="D14" s="86">
        <f t="shared" si="19"/>
        <v>-54</v>
      </c>
      <c r="E14" s="86">
        <f t="shared" si="19"/>
        <v>-49</v>
      </c>
      <c r="F14" s="86">
        <f t="shared" si="19"/>
        <v>-89</v>
      </c>
      <c r="G14" s="86">
        <f t="shared" si="19"/>
        <v>-262</v>
      </c>
      <c r="H14" s="86">
        <f t="shared" si="19"/>
        <v>-205</v>
      </c>
      <c r="I14" s="86">
        <f t="shared" si="19"/>
        <v>6</v>
      </c>
      <c r="J14" s="86">
        <f t="shared" si="19"/>
        <v>161</v>
      </c>
      <c r="K14" s="86">
        <f t="shared" si="19"/>
        <v>107</v>
      </c>
      <c r="L14" s="110">
        <f>IFERROR(SUM(L12:L13),"")</f>
        <v>-206.99018147327817</v>
      </c>
      <c r="M14" s="86">
        <f t="shared" ref="M14:P14" si="20">IFERROR(SUM(M12:M13),"")</f>
        <v>-216.00449055826056</v>
      </c>
      <c r="N14" s="86">
        <f t="shared" si="20"/>
        <v>-225.41136786894933</v>
      </c>
      <c r="O14" s="86">
        <f t="shared" si="20"/>
        <v>-235.22790953665969</v>
      </c>
      <c r="P14" s="118">
        <f t="shared" si="20"/>
        <v>-245.47195621986657</v>
      </c>
      <c r="Q14" s="6"/>
      <c r="R14" s="316"/>
      <c r="T14" s="27"/>
      <c r="U14" s="27"/>
      <c r="V14" s="27"/>
    </row>
    <row r="15" spans="1:22" ht="25" customHeight="1" collapsed="1" x14ac:dyDescent="0.2">
      <c r="A15" s="67" t="s">
        <v>16</v>
      </c>
      <c r="B15" s="110">
        <f t="shared" ref="B15:P15" si="21">IFERROR(B9+B14,"")</f>
        <v>4483</v>
      </c>
      <c r="C15" s="86">
        <f t="shared" ref="C15:K15" si="22">IFERROR(C9+C14,"")</f>
        <v>4690</v>
      </c>
      <c r="D15" s="86">
        <f t="shared" si="22"/>
        <v>4391</v>
      </c>
      <c r="E15" s="86">
        <f t="shared" si="22"/>
        <v>4723</v>
      </c>
      <c r="F15" s="86">
        <f t="shared" si="22"/>
        <v>3026</v>
      </c>
      <c r="G15" s="86">
        <f t="shared" si="22"/>
        <v>6969</v>
      </c>
      <c r="H15" s="86">
        <f t="shared" si="22"/>
        <v>6470</v>
      </c>
      <c r="I15" s="86">
        <f t="shared" si="22"/>
        <v>5921</v>
      </c>
      <c r="J15" s="86">
        <f t="shared" si="22"/>
        <v>6915</v>
      </c>
      <c r="K15" s="86">
        <f t="shared" si="22"/>
        <v>3809</v>
      </c>
      <c r="L15" s="110">
        <f t="shared" si="21"/>
        <v>5770.3927214257528</v>
      </c>
      <c r="M15" s="86">
        <f t="shared" si="21"/>
        <v>6021.6901654032081</v>
      </c>
      <c r="N15" s="86">
        <f t="shared" si="21"/>
        <v>6283.9314754913921</v>
      </c>
      <c r="O15" s="86">
        <f t="shared" si="21"/>
        <v>6557.5932510681323</v>
      </c>
      <c r="P15" s="118">
        <f t="shared" si="21"/>
        <v>6843.1728471532424</v>
      </c>
      <c r="Q15" s="6"/>
      <c r="R15" s="316"/>
      <c r="T15" s="27"/>
      <c r="U15" s="27"/>
      <c r="V15" s="27"/>
    </row>
    <row r="16" spans="1:22" ht="25" customHeight="1" thickBot="1" x14ac:dyDescent="0.25">
      <c r="A16" s="117" t="s">
        <v>133</v>
      </c>
      <c r="B16" s="108">
        <v>-863</v>
      </c>
      <c r="C16" s="85">
        <v>-646</v>
      </c>
      <c r="D16" s="85">
        <v>-2392</v>
      </c>
      <c r="E16" s="85">
        <v>-772</v>
      </c>
      <c r="F16" s="85">
        <v>-348</v>
      </c>
      <c r="G16" s="85">
        <v>-934</v>
      </c>
      <c r="H16" s="85">
        <v>-605</v>
      </c>
      <c r="I16" s="85">
        <v>-1131</v>
      </c>
      <c r="J16" s="85">
        <v>-1000</v>
      </c>
      <c r="K16" s="85">
        <v>-666</v>
      </c>
      <c r="L16" s="110">
        <f>IFERROR(-L15*L17,"")</f>
        <v>-1091.44790440566</v>
      </c>
      <c r="M16" s="86">
        <f>IFERROR(-M15*M17,"")</f>
        <v>-1138.9798631219678</v>
      </c>
      <c r="N16" s="86">
        <f>IFERROR(-N15*N17,"")</f>
        <v>-1188.5818126186778</v>
      </c>
      <c r="O16" s="86">
        <f>IFERROR(-O15*O17,"")</f>
        <v>-1240.3438998610459</v>
      </c>
      <c r="P16" s="118">
        <f>IFERROR(-P15*P17,"")</f>
        <v>-1294.3601976653129</v>
      </c>
      <c r="Q16" s="6"/>
      <c r="T16" s="27"/>
      <c r="U16" s="27"/>
      <c r="V16" s="27"/>
    </row>
    <row r="17" spans="1:22" ht="25" customHeight="1" thickTop="1" thickBot="1" x14ac:dyDescent="0.25">
      <c r="A17" s="67" t="s">
        <v>17</v>
      </c>
      <c r="B17" s="106">
        <f t="shared" ref="B17" si="23">IFERROR((ABS(B16)/B15),"")</f>
        <v>0.1925050189605175</v>
      </c>
      <c r="C17" s="10">
        <f t="shared" ref="C17:K17" si="24">IFERROR((ABS(C16)/C15),"")</f>
        <v>0.13773987206823027</v>
      </c>
      <c r="D17" s="10">
        <f t="shared" si="24"/>
        <v>0.54475062628102933</v>
      </c>
      <c r="E17" s="10">
        <f t="shared" si="24"/>
        <v>0.16345543087020961</v>
      </c>
      <c r="F17" s="10">
        <f t="shared" si="24"/>
        <v>0.11500330469266358</v>
      </c>
      <c r="G17" s="10">
        <f t="shared" si="24"/>
        <v>0.13402209786196012</v>
      </c>
      <c r="H17" s="10">
        <f t="shared" si="24"/>
        <v>9.3508500772797529E-2</v>
      </c>
      <c r="I17" s="10">
        <f t="shared" si="24"/>
        <v>0.19101503124472219</v>
      </c>
      <c r="J17" s="10">
        <f t="shared" si="24"/>
        <v>0.14461315979754158</v>
      </c>
      <c r="K17" s="10">
        <f t="shared" si="24"/>
        <v>0.1748490417432397</v>
      </c>
      <c r="L17" s="256">
        <f>S5</f>
        <v>0.18914620842929114</v>
      </c>
      <c r="M17" s="257">
        <f>L17</f>
        <v>0.18914620842929114</v>
      </c>
      <c r="N17" s="257">
        <f t="shared" ref="N17:P17" si="25">M17</f>
        <v>0.18914620842929114</v>
      </c>
      <c r="O17" s="257">
        <f t="shared" si="25"/>
        <v>0.18914620842929114</v>
      </c>
      <c r="P17" s="258">
        <f t="shared" si="25"/>
        <v>0.18914620842929114</v>
      </c>
      <c r="Q17" s="6"/>
      <c r="R17" s="6"/>
      <c r="S17" s="7"/>
      <c r="T17" s="27"/>
      <c r="U17" s="27"/>
      <c r="V17" s="27"/>
    </row>
    <row r="18" spans="1:22" ht="25" customHeight="1" thickTop="1" x14ac:dyDescent="0.2">
      <c r="A18" s="67" t="s">
        <v>0</v>
      </c>
      <c r="B18" s="110">
        <f t="shared" ref="B18" si="26">B15+B16</f>
        <v>3620</v>
      </c>
      <c r="C18" s="86">
        <f t="shared" ref="C18:K18" si="27">C15+C16</f>
        <v>4044</v>
      </c>
      <c r="D18" s="86">
        <f t="shared" si="27"/>
        <v>1999</v>
      </c>
      <c r="E18" s="86">
        <f t="shared" si="27"/>
        <v>3951</v>
      </c>
      <c r="F18" s="86">
        <f t="shared" si="27"/>
        <v>2678</v>
      </c>
      <c r="G18" s="86">
        <f t="shared" si="27"/>
        <v>6035</v>
      </c>
      <c r="H18" s="86">
        <f t="shared" si="27"/>
        <v>5865</v>
      </c>
      <c r="I18" s="86">
        <f t="shared" si="27"/>
        <v>4790</v>
      </c>
      <c r="J18" s="86">
        <f t="shared" si="27"/>
        <v>5915</v>
      </c>
      <c r="K18" s="86">
        <f t="shared" si="27"/>
        <v>3143</v>
      </c>
      <c r="L18" s="110">
        <f>IFERROR(L15+L16,"")</f>
        <v>4678.9448170200931</v>
      </c>
      <c r="M18" s="86">
        <f>IFERROR(M15+M16,"")</f>
        <v>4882.7103022812407</v>
      </c>
      <c r="N18" s="86">
        <f>IFERROR(N15+N16,"")</f>
        <v>5095.3496628727144</v>
      </c>
      <c r="O18" s="86">
        <f>IFERROR(O15+O16,"")</f>
        <v>5317.2493512070869</v>
      </c>
      <c r="P18" s="118">
        <f>IFERROR(P15+P16,"")</f>
        <v>5548.8126494879298</v>
      </c>
      <c r="Q18" s="6"/>
      <c r="R18" s="6"/>
      <c r="S18" s="7"/>
      <c r="T18" s="27"/>
      <c r="U18" s="27"/>
      <c r="V18" s="27"/>
    </row>
    <row r="19" spans="1:22" ht="25" customHeight="1" x14ac:dyDescent="0.2">
      <c r="A19" s="117" t="s">
        <v>201</v>
      </c>
      <c r="B19" s="108" t="s">
        <v>383</v>
      </c>
      <c r="C19" s="85" t="s">
        <v>383</v>
      </c>
      <c r="D19" s="85" t="s">
        <v>383</v>
      </c>
      <c r="E19" s="85" t="s">
        <v>383</v>
      </c>
      <c r="F19" s="85" t="s">
        <v>383</v>
      </c>
      <c r="G19" s="85" t="s">
        <v>383</v>
      </c>
      <c r="H19" s="85" t="s">
        <v>383</v>
      </c>
      <c r="I19" s="85" t="s">
        <v>383</v>
      </c>
      <c r="J19" s="85" t="s">
        <v>383</v>
      </c>
      <c r="K19" s="85" t="s">
        <v>383</v>
      </c>
      <c r="L19" s="110">
        <f>IFERROR(K19/K18*L18,"")</f>
        <v>0</v>
      </c>
      <c r="M19" s="86">
        <f>IFERROR(L19/L18*M18,"")</f>
        <v>0</v>
      </c>
      <c r="N19" s="86">
        <f>IFERROR(M19/M18*N18,"")</f>
        <v>0</v>
      </c>
      <c r="O19" s="86">
        <f>IFERROR(N19/N18*O18,"")</f>
        <v>0</v>
      </c>
      <c r="P19" s="118">
        <f>IFERROR(O19/O18*P18,"")</f>
        <v>0</v>
      </c>
      <c r="Q19" s="6"/>
      <c r="R19" s="6"/>
      <c r="S19" s="7"/>
      <c r="T19" s="27"/>
      <c r="U19" s="27"/>
      <c r="V19" s="27"/>
    </row>
    <row r="20" spans="1:22" ht="25" customHeight="1" x14ac:dyDescent="0.2">
      <c r="A20" s="67" t="s">
        <v>1</v>
      </c>
      <c r="B20" s="110">
        <f t="shared" ref="B20" si="28">B18+B19</f>
        <v>3620</v>
      </c>
      <c r="C20" s="86">
        <f t="shared" ref="C20:K20" si="29">C18+C19</f>
        <v>4044</v>
      </c>
      <c r="D20" s="86">
        <f t="shared" si="29"/>
        <v>1999</v>
      </c>
      <c r="E20" s="86">
        <f t="shared" si="29"/>
        <v>3951</v>
      </c>
      <c r="F20" s="86">
        <f t="shared" si="29"/>
        <v>2678</v>
      </c>
      <c r="G20" s="86">
        <f t="shared" si="29"/>
        <v>6035</v>
      </c>
      <c r="H20" s="86">
        <f t="shared" si="29"/>
        <v>5865</v>
      </c>
      <c r="I20" s="86">
        <f t="shared" si="29"/>
        <v>4790</v>
      </c>
      <c r="J20" s="86">
        <f t="shared" si="29"/>
        <v>5915</v>
      </c>
      <c r="K20" s="86">
        <f t="shared" si="29"/>
        <v>3143</v>
      </c>
      <c r="L20" s="110">
        <f>IFERROR(L18+L19,"")</f>
        <v>4678.9448170200931</v>
      </c>
      <c r="M20" s="86">
        <f>IFERROR(M18+M19,"")</f>
        <v>4882.7103022812407</v>
      </c>
      <c r="N20" s="86">
        <f>IFERROR(N18+N19,"")</f>
        <v>5095.3496628727144</v>
      </c>
      <c r="O20" s="86">
        <f>IFERROR(O18+O19,"")</f>
        <v>5317.2493512070869</v>
      </c>
      <c r="P20" s="118">
        <f>IFERROR(P18+P19,"")</f>
        <v>5548.8126494879298</v>
      </c>
      <c r="Q20" s="6"/>
      <c r="R20" s="6"/>
      <c r="S20" s="7"/>
      <c r="T20" s="27"/>
      <c r="U20" s="27"/>
      <c r="V20" s="27"/>
    </row>
    <row r="21" spans="1:22" ht="25" customHeight="1" x14ac:dyDescent="0.2">
      <c r="A21" s="67" t="s">
        <v>202</v>
      </c>
      <c r="B21" s="106">
        <f t="shared" ref="B21:P21" si="30">IFERROR(B20/B3,"")</f>
        <v>0.11181121818631085</v>
      </c>
      <c r="C21" s="10">
        <f t="shared" ref="C21:K21" si="31">IFERROR(C20/C3,"")</f>
        <v>0.11772925764192139</v>
      </c>
      <c r="D21" s="10">
        <f t="shared" si="31"/>
        <v>5.4922108965024592E-2</v>
      </c>
      <c r="E21" s="10">
        <f t="shared" si="31"/>
        <v>0.10100467827287368</v>
      </c>
      <c r="F21" s="10">
        <f t="shared" si="31"/>
        <v>7.1598534876881531E-2</v>
      </c>
      <c r="G21" s="10">
        <f t="shared" si="31"/>
        <v>0.13550226772643587</v>
      </c>
      <c r="H21" s="10">
        <f t="shared" si="31"/>
        <v>0.12556197816313422</v>
      </c>
      <c r="I21" s="10">
        <f t="shared" si="31"/>
        <v>9.3523634730655836E-2</v>
      </c>
      <c r="J21" s="10">
        <f t="shared" si="31"/>
        <v>0.11516296094388848</v>
      </c>
      <c r="K21" s="10">
        <f t="shared" si="31"/>
        <v>6.7870176423589362E-2</v>
      </c>
      <c r="L21" s="106">
        <f t="shared" si="30"/>
        <v>9.682098257630499E-2</v>
      </c>
      <c r="M21" s="10">
        <f t="shared" si="30"/>
        <v>9.6820982576305004E-2</v>
      </c>
      <c r="N21" s="10">
        <f t="shared" si="30"/>
        <v>9.6820982576305004E-2</v>
      </c>
      <c r="O21" s="10">
        <f t="shared" si="30"/>
        <v>9.6820982576305004E-2</v>
      </c>
      <c r="P21" s="114">
        <f t="shared" si="30"/>
        <v>9.682098257630499E-2</v>
      </c>
      <c r="Q21" s="6"/>
      <c r="R21" s="6"/>
      <c r="S21" s="7"/>
      <c r="T21" s="27"/>
      <c r="U21" s="27"/>
      <c r="V21" s="27"/>
    </row>
    <row r="22" spans="1:22" ht="25" customHeight="1" x14ac:dyDescent="0.2">
      <c r="A22" s="67" t="s">
        <v>11</v>
      </c>
      <c r="B22" s="106"/>
      <c r="C22" s="10">
        <f>IFERROR((C20-B20)/B20,"")</f>
        <v>0.11712707182320442</v>
      </c>
      <c r="D22" s="10">
        <f t="shared" ref="D22" si="32">IFERROR((D20-C20)/C20,"")</f>
        <v>-0.50568743818001982</v>
      </c>
      <c r="E22" s="10">
        <f t="shared" ref="E22" si="33">IFERROR((E20-D20)/D20,"")</f>
        <v>0.97648824412206103</v>
      </c>
      <c r="F22" s="10">
        <f t="shared" ref="F22" si="34">IFERROR((F20-E20)/E20,"")</f>
        <v>-0.32219691217413315</v>
      </c>
      <c r="G22" s="10">
        <f t="shared" ref="G22" si="35">IFERROR((G20-F20)/F20,"")</f>
        <v>1.2535474234503361</v>
      </c>
      <c r="H22" s="10">
        <f t="shared" ref="H22" si="36">IFERROR((H20-G20)/G20,"")</f>
        <v>-2.8169014084507043E-2</v>
      </c>
      <c r="I22" s="10">
        <f t="shared" ref="I22" si="37">IFERROR((I20-H20)/H20,"")</f>
        <v>-0.18329070758738278</v>
      </c>
      <c r="J22" s="10">
        <f t="shared" ref="J22" si="38">IFERROR((J20-I20)/I20,"")</f>
        <v>0.23486430062630481</v>
      </c>
      <c r="K22" s="10">
        <f t="shared" ref="K22" si="39">IFERROR((K20-J20)/J20,"")</f>
        <v>-0.46863905325443789</v>
      </c>
      <c r="L22" s="106">
        <f t="shared" ref="L22" si="40">IFERROR((L20-K20)/K20,"")</f>
        <v>0.48868750143814604</v>
      </c>
      <c r="M22" s="10">
        <f t="shared" ref="M22" si="41">IFERROR((M20-L20)/L20,"")</f>
        <v>4.3549452543216995E-2</v>
      </c>
      <c r="N22" s="10">
        <f t="shared" ref="N22" si="42">IFERROR((N20-M20)/M20,"")</f>
        <v>4.3549452543217002E-2</v>
      </c>
      <c r="O22" s="10">
        <f t="shared" ref="O22" si="43">IFERROR((O20-N20)/N20,"")</f>
        <v>4.3549452543217099E-2</v>
      </c>
      <c r="P22" s="114">
        <f t="shared" ref="P22" si="44">IFERROR((P20-O20)/O20,"")</f>
        <v>4.3549452543216717E-2</v>
      </c>
      <c r="Q22" s="6"/>
      <c r="R22" s="6"/>
      <c r="S22" s="7"/>
      <c r="T22" s="27"/>
      <c r="U22" s="27"/>
      <c r="V22" s="27"/>
    </row>
    <row r="23" spans="1:22" ht="25" customHeight="1" x14ac:dyDescent="0.2">
      <c r="A23" s="115" t="s">
        <v>18</v>
      </c>
      <c r="B23" s="265">
        <f t="shared" ref="B23:P23" si="45">IFERROR(B20/B25,"")</f>
        <v>2.0774748923959829</v>
      </c>
      <c r="C23" s="266">
        <f t="shared" ref="C23:K23" si="46">IFERROR(C20/C25,"")</f>
        <v>2.3900709219858154</v>
      </c>
      <c r="D23" s="266">
        <f t="shared" si="46"/>
        <v>1.2048701103007655</v>
      </c>
      <c r="E23" s="266">
        <f t="shared" si="46"/>
        <v>2.4413000494315371</v>
      </c>
      <c r="F23" s="266">
        <f t="shared" si="46"/>
        <v>1.6825835637094748</v>
      </c>
      <c r="G23" s="266">
        <f t="shared" si="46"/>
        <v>3.7498446626071824</v>
      </c>
      <c r="H23" s="266">
        <f t="shared" si="46"/>
        <v>3.6410479264961513</v>
      </c>
      <c r="I23" s="266">
        <f t="shared" si="46"/>
        <v>3.0513441202700982</v>
      </c>
      <c r="J23" s="266">
        <f t="shared" si="46"/>
        <v>3.8667712623390207</v>
      </c>
      <c r="K23" s="266">
        <f t="shared" si="46"/>
        <v>2.1127991395536436</v>
      </c>
      <c r="L23" s="265">
        <f t="shared" si="45"/>
        <v>3.2007715632214104</v>
      </c>
      <c r="M23" s="266">
        <f t="shared" si="45"/>
        <v>3.3990741678020622</v>
      </c>
      <c r="N23" s="266">
        <f t="shared" si="45"/>
        <v>3.6096625360514887</v>
      </c>
      <c r="O23" s="266">
        <f t="shared" si="45"/>
        <v>3.8332978278608771</v>
      </c>
      <c r="P23" s="267">
        <f t="shared" si="45"/>
        <v>4.0707883604976738</v>
      </c>
      <c r="Q23" s="6"/>
      <c r="R23" s="6"/>
      <c r="S23" s="6"/>
      <c r="T23" s="27"/>
      <c r="U23" s="27"/>
      <c r="V23" s="27"/>
    </row>
    <row r="24" spans="1:22" ht="25" customHeight="1" x14ac:dyDescent="0.2">
      <c r="A24" s="67" t="s">
        <v>11</v>
      </c>
      <c r="B24" s="106"/>
      <c r="C24" s="10">
        <f t="shared" ref="C24:H26" si="47">IFERROR((C23-B23)/B23,"")</f>
        <v>0.15046922142549254</v>
      </c>
      <c r="D24" s="10">
        <f t="shared" ref="D24" si="48">IFERROR((D23-C23)/C23,"")</f>
        <v>-0.49588520607594078</v>
      </c>
      <c r="E24" s="10">
        <f t="shared" ref="E24" si="49">IFERROR((E23-D23)/D23,"")</f>
        <v>1.0261935527823227</v>
      </c>
      <c r="F24" s="10">
        <f t="shared" ref="F24" si="50">IFERROR((F23-E23)/E23,"")</f>
        <v>-0.31078379156987745</v>
      </c>
      <c r="G24" s="10">
        <f t="shared" ref="G24" si="51">IFERROR((G23-F23)/F23,"")</f>
        <v>1.2286231385383088</v>
      </c>
      <c r="H24" s="10">
        <f t="shared" ref="H24" si="52">IFERROR((H23-G23)/G23,"")</f>
        <v>-2.9013664804820798E-2</v>
      </c>
      <c r="I24" s="10">
        <f t="shared" ref="I24" si="53">IFERROR((I23-H23)/H23,"")</f>
        <v>-0.16195991322573339</v>
      </c>
      <c r="J24" s="10">
        <f t="shared" ref="J24" si="54">IFERROR((J23-I23)/I23,"")</f>
        <v>0.26723539198743101</v>
      </c>
      <c r="K24" s="10">
        <f t="shared" ref="K24" si="55">IFERROR((K23-J23)/J23,"")</f>
        <v>-0.45360120984358265</v>
      </c>
      <c r="L24" s="106">
        <f>IFERROR((L23-K23)/K23,"")</f>
        <v>0.51494361356925544</v>
      </c>
      <c r="M24" s="10">
        <f t="shared" ref="M24:P24" si="56">IFERROR((M23-L23)/L23,"")</f>
        <v>6.1954625834363029E-2</v>
      </c>
      <c r="N24" s="10">
        <f t="shared" si="56"/>
        <v>6.1954625834363279E-2</v>
      </c>
      <c r="O24" s="10">
        <f t="shared" si="56"/>
        <v>6.1954625834363175E-2</v>
      </c>
      <c r="P24" s="114">
        <f t="shared" si="56"/>
        <v>6.1954625834362891E-2</v>
      </c>
      <c r="Q24" s="6"/>
      <c r="R24" s="6"/>
      <c r="S24" s="6"/>
      <c r="T24" s="27"/>
      <c r="U24" s="27"/>
      <c r="V24" s="27"/>
    </row>
    <row r="25" spans="1:22" ht="25" customHeight="1" thickBot="1" x14ac:dyDescent="0.25">
      <c r="A25" s="117" t="s">
        <v>107</v>
      </c>
      <c r="B25" s="111">
        <v>1742.5</v>
      </c>
      <c r="C25" s="15">
        <v>1692</v>
      </c>
      <c r="D25" s="15">
        <v>1659.1</v>
      </c>
      <c r="E25" s="15">
        <v>1618.4</v>
      </c>
      <c r="F25" s="15">
        <v>1591.6</v>
      </c>
      <c r="G25" s="15">
        <v>1609.4</v>
      </c>
      <c r="H25" s="15">
        <v>1610.8</v>
      </c>
      <c r="I25" s="15">
        <v>1569.8</v>
      </c>
      <c r="J25" s="15">
        <v>1529.7</v>
      </c>
      <c r="K25" s="15">
        <v>1487.6</v>
      </c>
      <c r="L25" s="193">
        <f>IFERROR(K25*(1+L26),"")</f>
        <v>1461.8177913049747</v>
      </c>
      <c r="M25" s="11">
        <f t="shared" ref="M25" si="57">IFERROR(L25*(1+M26),"")</f>
        <v>1436.4824246946455</v>
      </c>
      <c r="N25" s="11">
        <f t="shared" ref="N25" si="58">IFERROR(M25*(1+N26),"")</f>
        <v>1411.5861557646822</v>
      </c>
      <c r="O25" s="11">
        <f t="shared" ref="O25" si="59">IFERROR(N25*(1+O26),"")</f>
        <v>1387.1213743322182</v>
      </c>
      <c r="P25" s="119">
        <f t="shared" ref="P25" si="60">IFERROR(O25*(1+P26),"")</f>
        <v>1363.0806021096023</v>
      </c>
      <c r="Q25" s="6"/>
      <c r="R25" s="6"/>
      <c r="S25" s="7"/>
      <c r="T25" s="27"/>
      <c r="U25" s="27"/>
      <c r="V25" s="27"/>
    </row>
    <row r="26" spans="1:22" ht="25" customHeight="1" thickTop="1" thickBot="1" x14ac:dyDescent="0.25">
      <c r="A26" s="67" t="s">
        <v>11</v>
      </c>
      <c r="B26" s="106"/>
      <c r="C26" s="10">
        <f t="shared" si="47"/>
        <v>-2.8981348637015781E-2</v>
      </c>
      <c r="D26" s="10">
        <f t="shared" si="47"/>
        <v>-1.9444444444444497E-2</v>
      </c>
      <c r="E26" s="10">
        <f t="shared" si="47"/>
        <v>-2.4531372430835887E-2</v>
      </c>
      <c r="F26" s="10">
        <f>IFERROR((F25-E25)/E25,"")</f>
        <v>-1.6559565002471688E-2</v>
      </c>
      <c r="G26" s="10">
        <f t="shared" si="47"/>
        <v>1.1183714501131052E-2</v>
      </c>
      <c r="H26" s="10">
        <f t="shared" si="47"/>
        <v>8.6988939977622937E-4</v>
      </c>
      <c r="I26" s="10">
        <f t="shared" ref="I26" si="61">IFERROR((I25-H25)/H25,"")</f>
        <v>-2.5453190961013162E-2</v>
      </c>
      <c r="J26" s="10">
        <f t="shared" ref="J26" si="62">IFERROR((J25-I25)/I25,"")</f>
        <v>-2.5544655370110785E-2</v>
      </c>
      <c r="K26" s="10">
        <f t="shared" ref="K26" si="63">IFERROR((K25-J25)/J25,"")</f>
        <v>-2.7521736288161167E-2</v>
      </c>
      <c r="L26" s="256">
        <f>S6</f>
        <v>-1.7331412137016184E-2</v>
      </c>
      <c r="M26" s="257">
        <f>L26</f>
        <v>-1.7331412137016184E-2</v>
      </c>
      <c r="N26" s="257">
        <f t="shared" ref="N26:P26" si="64">M26</f>
        <v>-1.7331412137016184E-2</v>
      </c>
      <c r="O26" s="257">
        <f t="shared" si="64"/>
        <v>-1.7331412137016184E-2</v>
      </c>
      <c r="P26" s="258">
        <f t="shared" si="64"/>
        <v>-1.7331412137016184E-2</v>
      </c>
      <c r="Q26" s="6"/>
      <c r="R26" s="6"/>
      <c r="S26" s="7"/>
      <c r="T26" s="27"/>
      <c r="U26" s="27"/>
      <c r="V26" s="27"/>
    </row>
    <row r="27" spans="1:22" ht="16" hidden="1" customHeight="1" x14ac:dyDescent="0.2">
      <c r="T27" s="27"/>
      <c r="U27" s="27"/>
      <c r="V27" s="27"/>
    </row>
    <row r="28" spans="1:22" ht="9.75" hidden="1" customHeight="1" x14ac:dyDescent="0.2">
      <c r="T28" s="27"/>
      <c r="U28" s="27"/>
      <c r="V28" s="27"/>
    </row>
    <row r="29" spans="1:22" s="25" customFormat="1" ht="20" hidden="1" customHeight="1" x14ac:dyDescent="0.2">
      <c r="T29" s="52"/>
      <c r="U29" s="52"/>
      <c r="V29" s="52"/>
    </row>
    <row r="30" spans="1:22" s="25" customFormat="1" ht="20" hidden="1" customHeight="1" x14ac:dyDescent="0.2">
      <c r="T30" s="52"/>
      <c r="U30" s="52"/>
      <c r="V30" s="52"/>
    </row>
    <row r="31" spans="1:22" s="25" customFormat="1" ht="20" hidden="1" customHeight="1" x14ac:dyDescent="0.2">
      <c r="T31" s="52"/>
      <c r="U31" s="52"/>
      <c r="V31" s="52"/>
    </row>
    <row r="32" spans="1:22" s="25" customFormat="1" ht="20" hidden="1" customHeight="1" x14ac:dyDescent="0.2">
      <c r="T32" s="52"/>
      <c r="U32" s="52"/>
      <c r="V32" s="52"/>
    </row>
    <row r="33" spans="20:22" ht="16" hidden="1" customHeight="1" x14ac:dyDescent="0.2">
      <c r="T33" s="27"/>
      <c r="U33" s="27"/>
      <c r="V33" s="27"/>
    </row>
    <row r="34" spans="20:22" ht="16" hidden="1" customHeight="1" x14ac:dyDescent="0.2">
      <c r="T34" s="27"/>
      <c r="U34" s="27"/>
      <c r="V34" s="27"/>
    </row>
    <row r="35" spans="20:22" ht="16" hidden="1" customHeight="1" x14ac:dyDescent="0.2">
      <c r="T35" s="27"/>
      <c r="U35" s="27"/>
      <c r="V35" s="27"/>
    </row>
    <row r="36" spans="20:22" ht="16" hidden="1" customHeight="1" x14ac:dyDescent="0.2">
      <c r="T36" s="27"/>
      <c r="U36" s="27"/>
      <c r="V36" s="27"/>
    </row>
    <row r="37" spans="20:22" ht="16" hidden="1" customHeight="1" x14ac:dyDescent="0.2">
      <c r="T37" s="27"/>
      <c r="U37" s="27"/>
      <c r="V37" s="27"/>
    </row>
    <row r="38" spans="20:22" ht="16" hidden="1" customHeight="1" x14ac:dyDescent="0.2">
      <c r="T38" s="27"/>
      <c r="U38" s="27"/>
      <c r="V38" s="27"/>
    </row>
    <row r="48" spans="20:22" ht="17" thickTop="1" x14ac:dyDescent="0.2"/>
    <row r="57" spans="1:1" hidden="1" x14ac:dyDescent="0.2">
      <c r="A57" s="53"/>
    </row>
    <row r="58" spans="1:1" hidden="1" x14ac:dyDescent="0.2">
      <c r="A58" s="53"/>
    </row>
  </sheetData>
  <mergeCells count="2">
    <mergeCell ref="R13:R15"/>
    <mergeCell ref="O1:P1"/>
  </mergeCells>
  <conditionalFormatting sqref="B4:K4 B11:K11 B24:K24">
    <cfRule type="cellIs" dxfId="14" priority="6" operator="lessThan">
      <formula>0</formula>
    </cfRule>
  </conditionalFormatting>
  <conditionalFormatting sqref="B7:K7">
    <cfRule type="cellIs" dxfId="13" priority="4" operator="lessThan">
      <formula>0</formula>
    </cfRule>
  </conditionalFormatting>
  <conditionalFormatting sqref="B22:K22">
    <cfRule type="cellIs" dxfId="12" priority="1" operator="lessThan">
      <formula>0</formula>
    </cfRule>
  </conditionalFormatting>
  <conditionalFormatting sqref="B26:K26">
    <cfRule type="cellIs" dxfId="11" priority="2" operator="lessThan">
      <formula>0</formula>
    </cfRule>
    <cfRule type="cellIs" dxfId="10" priority="3" operator="lessThan">
      <formula>0</formula>
    </cfRule>
  </conditionalFormatting>
  <pageMargins left="0.7" right="0.7" top="0.75" bottom="0.75" header="0.3" footer="0.3"/>
  <pageSetup paperSize="9" orientation="portrait" r:id="rId1"/>
  <ignoredErrors>
    <ignoredError sqref="I23:K24 I2:K2 I22:K22 I4:K7 I10:K11 I14:K15 I17:K18 I20:K21 I26:K26" calculatedColumn="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8"/>
  <sheetViews>
    <sheetView showGridLines="0" zoomScale="79" zoomScaleNormal="79" workbookViewId="0">
      <pane xSplit="1" ySplit="2" topLeftCell="B3" activePane="bottomRight" state="frozen"/>
      <selection pane="topRight" activeCell="B1" sqref="B1"/>
      <selection pane="bottomLeft" activeCell="A3" sqref="A3"/>
      <selection pane="bottomRight" activeCell="B7" sqref="B7:K10"/>
    </sheetView>
  </sheetViews>
  <sheetFormatPr baseColWidth="10" defaultColWidth="0" defaultRowHeight="16" x14ac:dyDescent="0.2"/>
  <cols>
    <col min="1" max="1" width="56.83203125" style="4" customWidth="1"/>
    <col min="2" max="11" width="12.33203125" style="5" customWidth="1"/>
    <col min="12" max="12" width="12.83203125" style="5" bestFit="1" customWidth="1"/>
    <col min="13" max="16" width="12.33203125" style="5" customWidth="1"/>
    <col min="17" max="17" width="12.83203125" style="5" customWidth="1"/>
    <col min="18" max="18" width="19" style="4" customWidth="1"/>
    <col min="19" max="20" width="15.5" style="4" hidden="1" customWidth="1"/>
    <col min="21" max="16384" width="9.1640625" style="4" hidden="1"/>
  </cols>
  <sheetData>
    <row r="1" spans="1:18" ht="50" customHeight="1" x14ac:dyDescent="0.2">
      <c r="A1" s="248" t="str">
        <f>IF('1.IS'!A1&lt;&gt;"",'1.IS'!A1,"")</f>
        <v/>
      </c>
      <c r="B1" s="17" t="s">
        <v>69</v>
      </c>
      <c r="O1" s="314" t="e" vm="1">
        <v>#VALUE!</v>
      </c>
      <c r="P1" s="314"/>
    </row>
    <row r="2" spans="1:18" s="6" customFormat="1" ht="35" customHeight="1" x14ac:dyDescent="0.2">
      <c r="A2" s="103" t="s">
        <v>67</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c r="Q2" s="16"/>
    </row>
    <row r="3" spans="1:18" s="6" customFormat="1" ht="28" customHeight="1" x14ac:dyDescent="0.2">
      <c r="A3" s="115" t="s">
        <v>2</v>
      </c>
      <c r="B3" s="107">
        <f>'1.IS'!B5</f>
        <v>5164</v>
      </c>
      <c r="C3" s="84">
        <f>'1.IS'!C5</f>
        <v>5465</v>
      </c>
      <c r="D3" s="84">
        <f>'1.IS'!D5</f>
        <v>5219</v>
      </c>
      <c r="E3" s="84">
        <f>'1.IS'!E5</f>
        <v>5492</v>
      </c>
      <c r="F3" s="84">
        <f>'1.IS'!F5</f>
        <v>4234</v>
      </c>
      <c r="G3" s="84">
        <f>'1.IS'!G5</f>
        <v>8028</v>
      </c>
      <c r="H3" s="84">
        <f>'1.IS'!H5</f>
        <v>7515</v>
      </c>
      <c r="I3" s="84">
        <f>'1.IS'!I5</f>
        <v>6618</v>
      </c>
      <c r="J3" s="84">
        <f>'1.IS'!J5</f>
        <v>7550</v>
      </c>
      <c r="K3" s="84">
        <f>'1.IS'!K5</f>
        <v>4477</v>
      </c>
      <c r="L3" s="107">
        <f>'1.IS'!L5</f>
        <v>6786.1337286200242</v>
      </c>
      <c r="M3" s="84">
        <f>'1.IS'!M5</f>
        <v>7081.6661373864863</v>
      </c>
      <c r="N3" s="84">
        <f>'1.IS'!N5</f>
        <v>7390.0688207635058</v>
      </c>
      <c r="O3" s="84">
        <f>'1.IS'!O5</f>
        <v>7711.9022721644533</v>
      </c>
      <c r="P3" s="116">
        <f>'1.IS'!P5</f>
        <v>8047.7513941840061</v>
      </c>
      <c r="Q3" s="9"/>
    </row>
    <row r="4" spans="1:18" s="6" customFormat="1" ht="25" customHeight="1" x14ac:dyDescent="0.2">
      <c r="A4" s="117" t="s">
        <v>153</v>
      </c>
      <c r="B4" s="108">
        <v>-649</v>
      </c>
      <c r="C4" s="85">
        <v>-706</v>
      </c>
      <c r="D4" s="85">
        <v>-747</v>
      </c>
      <c r="E4" s="85">
        <v>-705</v>
      </c>
      <c r="F4" s="85">
        <v>-721</v>
      </c>
      <c r="G4" s="85">
        <v>-695</v>
      </c>
      <c r="H4" s="85">
        <v>-717</v>
      </c>
      <c r="I4" s="85">
        <v>-703</v>
      </c>
      <c r="J4" s="85">
        <v>-796</v>
      </c>
      <c r="K4" s="85">
        <v>-430</v>
      </c>
      <c r="L4" s="122">
        <f>IFERROR(-L22*'1.IS'!L3,"")</f>
        <v>-448.72626459358327</v>
      </c>
      <c r="M4" s="88">
        <f>IFERROR(-M22*'1.IS'!M3,"")</f>
        <v>-468.26804775839656</v>
      </c>
      <c r="N4" s="88">
        <f>IFERROR(-N22*'1.IS'!N3,"")</f>
        <v>-488.66086488175574</v>
      </c>
      <c r="O4" s="88">
        <f>IFERROR(-O22*'1.IS'!O3,"")</f>
        <v>-509.94177802665109</v>
      </c>
      <c r="P4" s="126">
        <f>IFERROR(-P22*'1.IS'!P3,"")</f>
        <v>-532.14946328862641</v>
      </c>
      <c r="Q4" s="13"/>
    </row>
    <row r="5" spans="1:18" s="6" customFormat="1" ht="25" customHeight="1" x14ac:dyDescent="0.2">
      <c r="A5" s="18" t="s">
        <v>121</v>
      </c>
      <c r="B5" s="122">
        <f>'1.IS'!B14</f>
        <v>-19</v>
      </c>
      <c r="C5" s="88">
        <f>'1.IS'!C14</f>
        <v>-59</v>
      </c>
      <c r="D5" s="88">
        <f>'1.IS'!D14</f>
        <v>-54</v>
      </c>
      <c r="E5" s="88">
        <f>'1.IS'!E14</f>
        <v>-49</v>
      </c>
      <c r="F5" s="88">
        <f>'1.IS'!F14</f>
        <v>-89</v>
      </c>
      <c r="G5" s="88">
        <f>'1.IS'!G14</f>
        <v>-262</v>
      </c>
      <c r="H5" s="88">
        <f>'1.IS'!H14</f>
        <v>-205</v>
      </c>
      <c r="I5" s="88">
        <f>'1.IS'!I14</f>
        <v>6</v>
      </c>
      <c r="J5" s="88">
        <f>'1.IS'!J14</f>
        <v>161</v>
      </c>
      <c r="K5" s="88">
        <f>'1.IS'!K14</f>
        <v>107</v>
      </c>
      <c r="L5" s="122">
        <f>'1.IS'!L14</f>
        <v>-206.99018147327817</v>
      </c>
      <c r="M5" s="88">
        <f>'1.IS'!M14</f>
        <v>-216.00449055826056</v>
      </c>
      <c r="N5" s="88">
        <f>'1.IS'!N14</f>
        <v>-225.41136786894933</v>
      </c>
      <c r="O5" s="88">
        <f>'1.IS'!O14</f>
        <v>-235.22790953665969</v>
      </c>
      <c r="P5" s="126">
        <f>'1.IS'!P14</f>
        <v>-245.47195621986657</v>
      </c>
      <c r="Q5" s="13"/>
    </row>
    <row r="6" spans="1:18" s="6" customFormat="1" ht="25" customHeight="1" x14ac:dyDescent="0.2">
      <c r="A6" s="18" t="s">
        <v>77</v>
      </c>
      <c r="B6" s="122">
        <f>'1.IS'!B16</f>
        <v>-863</v>
      </c>
      <c r="C6" s="88">
        <f>'1.IS'!C16</f>
        <v>-646</v>
      </c>
      <c r="D6" s="88">
        <f>'1.IS'!D16</f>
        <v>-2392</v>
      </c>
      <c r="E6" s="88">
        <f>'1.IS'!E16</f>
        <v>-772</v>
      </c>
      <c r="F6" s="88">
        <f>'1.IS'!F16</f>
        <v>-348</v>
      </c>
      <c r="G6" s="88">
        <f>'1.IS'!G16</f>
        <v>-934</v>
      </c>
      <c r="H6" s="88">
        <f>'1.IS'!H16</f>
        <v>-605</v>
      </c>
      <c r="I6" s="88">
        <f>'1.IS'!I16</f>
        <v>-1131</v>
      </c>
      <c r="J6" s="88">
        <f>'1.IS'!J16</f>
        <v>-1000</v>
      </c>
      <c r="K6" s="88">
        <f>'1.IS'!K16</f>
        <v>-666</v>
      </c>
      <c r="L6" s="122">
        <f>'1.IS'!L16</f>
        <v>-1091.44790440566</v>
      </c>
      <c r="M6" s="88">
        <f>'1.IS'!M16</f>
        <v>-1138.9798631219678</v>
      </c>
      <c r="N6" s="88">
        <f>'1.IS'!N16</f>
        <v>-1188.5818126186778</v>
      </c>
      <c r="O6" s="88">
        <f>'1.IS'!O16</f>
        <v>-1240.3438998610459</v>
      </c>
      <c r="P6" s="126">
        <f>'1.IS'!P16</f>
        <v>-1294.3601976653129</v>
      </c>
      <c r="Q6" s="13"/>
    </row>
    <row r="7" spans="1:18" s="6" customFormat="1" ht="25" customHeight="1" x14ac:dyDescent="0.2">
      <c r="A7" s="127" t="s">
        <v>204</v>
      </c>
      <c r="B7" s="108">
        <v>4838</v>
      </c>
      <c r="C7" s="85">
        <v>5055</v>
      </c>
      <c r="D7" s="85">
        <v>5261</v>
      </c>
      <c r="E7" s="85">
        <v>5622</v>
      </c>
      <c r="F7" s="85">
        <v>7367</v>
      </c>
      <c r="G7" s="85">
        <v>6854</v>
      </c>
      <c r="H7" s="85">
        <v>8420</v>
      </c>
      <c r="I7" s="85">
        <v>8454</v>
      </c>
      <c r="J7" s="85">
        <v>7519</v>
      </c>
      <c r="K7" s="85">
        <v>7489</v>
      </c>
      <c r="L7" s="122"/>
      <c r="M7" s="88"/>
      <c r="N7" s="88"/>
      <c r="O7" s="88"/>
      <c r="P7" s="126"/>
      <c r="Q7" s="13"/>
    </row>
    <row r="8" spans="1:18" s="6" customFormat="1" ht="25" customHeight="1" x14ac:dyDescent="0.2">
      <c r="A8" s="127" t="s">
        <v>205</v>
      </c>
      <c r="B8" s="108">
        <v>3241</v>
      </c>
      <c r="C8" s="85">
        <v>3677</v>
      </c>
      <c r="D8" s="85">
        <v>3498</v>
      </c>
      <c r="E8" s="85">
        <v>4272</v>
      </c>
      <c r="F8" s="85">
        <v>2749</v>
      </c>
      <c r="G8" s="85">
        <v>4463</v>
      </c>
      <c r="H8" s="85">
        <v>4667</v>
      </c>
      <c r="I8" s="85">
        <v>4131</v>
      </c>
      <c r="J8" s="85">
        <v>4427</v>
      </c>
      <c r="K8" s="85">
        <v>4717</v>
      </c>
      <c r="L8" s="122"/>
      <c r="M8" s="88"/>
      <c r="N8" s="88"/>
      <c r="O8" s="88"/>
      <c r="P8" s="126"/>
      <c r="Q8" s="13"/>
    </row>
    <row r="9" spans="1:18" s="6" customFormat="1" ht="25" customHeight="1" x14ac:dyDescent="0.2">
      <c r="A9" s="127" t="s">
        <v>203</v>
      </c>
      <c r="B9" s="108">
        <v>2191</v>
      </c>
      <c r="C9" s="85">
        <v>2048</v>
      </c>
      <c r="D9" s="85">
        <v>2279</v>
      </c>
      <c r="E9" s="85">
        <v>2612</v>
      </c>
      <c r="F9" s="85">
        <v>2248</v>
      </c>
      <c r="G9" s="85">
        <v>2836</v>
      </c>
      <c r="H9" s="85">
        <v>3358</v>
      </c>
      <c r="I9" s="85">
        <v>2862</v>
      </c>
      <c r="J9" s="85">
        <v>2851</v>
      </c>
      <c r="K9" s="85">
        <v>3479</v>
      </c>
      <c r="L9" s="122"/>
      <c r="M9" s="88"/>
      <c r="N9" s="88"/>
      <c r="O9" s="88"/>
      <c r="P9" s="126"/>
      <c r="Q9" s="13"/>
    </row>
    <row r="10" spans="1:18" s="6" customFormat="1" ht="25" customHeight="1" x14ac:dyDescent="0.2">
      <c r="A10" s="127" t="s">
        <v>211</v>
      </c>
      <c r="B10" s="108">
        <v>0</v>
      </c>
      <c r="C10" s="85">
        <v>0</v>
      </c>
      <c r="D10" s="85">
        <v>0</v>
      </c>
      <c r="E10" s="85">
        <v>0</v>
      </c>
      <c r="F10" s="85">
        <v>0</v>
      </c>
      <c r="G10" s="85">
        <v>0</v>
      </c>
      <c r="H10" s="85">
        <v>0</v>
      </c>
      <c r="I10" s="85">
        <v>0</v>
      </c>
      <c r="J10" s="85">
        <v>0</v>
      </c>
      <c r="K10" s="85">
        <v>0</v>
      </c>
      <c r="L10" s="122"/>
      <c r="M10" s="88"/>
      <c r="N10" s="88"/>
      <c r="O10" s="88"/>
      <c r="P10" s="126"/>
      <c r="Q10" s="13"/>
    </row>
    <row r="11" spans="1:18" s="6" customFormat="1" ht="25" customHeight="1" thickBot="1" x14ac:dyDescent="0.25">
      <c r="A11" s="18" t="s">
        <v>125</v>
      </c>
      <c r="B11" s="122">
        <f>B7+B8-B9-B10</f>
        <v>5888</v>
      </c>
      <c r="C11" s="88">
        <f t="shared" ref="C11:K11" si="0">C7+C8-C9-C10</f>
        <v>6684</v>
      </c>
      <c r="D11" s="88">
        <f t="shared" si="0"/>
        <v>6480</v>
      </c>
      <c r="E11" s="88">
        <f t="shared" si="0"/>
        <v>7282</v>
      </c>
      <c r="F11" s="88">
        <f t="shared" si="0"/>
        <v>7868</v>
      </c>
      <c r="G11" s="88">
        <f t="shared" si="0"/>
        <v>8481</v>
      </c>
      <c r="H11" s="88">
        <f t="shared" si="0"/>
        <v>9729</v>
      </c>
      <c r="I11" s="88">
        <f t="shared" si="0"/>
        <v>9723</v>
      </c>
      <c r="J11" s="88">
        <f t="shared" si="0"/>
        <v>9095</v>
      </c>
      <c r="K11" s="88">
        <f t="shared" si="0"/>
        <v>8727</v>
      </c>
      <c r="L11" s="122">
        <f>IFERROR(IF(AND(L7&lt;&gt;"",L8&lt;&gt;"",L10&lt;&gt;""),L7+L8-L9-L10,K11+L12),"")</f>
        <v>9081.1447846460196</v>
      </c>
      <c r="M11" s="88">
        <f t="shared" ref="M11:P11" si="1">IFERROR(IF(AND(M7&lt;&gt;"",M8&lt;&gt;"",M10&lt;&gt;""),M7+M8-M9-M10,L11+M12),"")</f>
        <v>9450.7123807844091</v>
      </c>
      <c r="N11" s="88">
        <f t="shared" si="1"/>
        <v>9836.3744434123382</v>
      </c>
      <c r="O11" s="88">
        <f t="shared" si="1"/>
        <v>10238.831877734401</v>
      </c>
      <c r="P11" s="126">
        <f t="shared" si="1"/>
        <v>10658.816112993138</v>
      </c>
      <c r="Q11" s="13"/>
      <c r="R11" s="317" t="s">
        <v>157</v>
      </c>
    </row>
    <row r="12" spans="1:18" s="6" customFormat="1" ht="25" customHeight="1" thickTop="1" thickBot="1" x14ac:dyDescent="0.25">
      <c r="A12" s="18" t="s">
        <v>124</v>
      </c>
      <c r="B12" s="122"/>
      <c r="C12" s="88">
        <f>IF(B9&gt;0,C11-B11,0)</f>
        <v>796</v>
      </c>
      <c r="D12" s="88">
        <f t="shared" ref="D12:K12" si="2">IF(C9&gt;0,D11-C11,0)</f>
        <v>-204</v>
      </c>
      <c r="E12" s="88">
        <f t="shared" si="2"/>
        <v>802</v>
      </c>
      <c r="F12" s="88">
        <f t="shared" si="2"/>
        <v>586</v>
      </c>
      <c r="G12" s="88">
        <f t="shared" si="2"/>
        <v>613</v>
      </c>
      <c r="H12" s="88">
        <f t="shared" si="2"/>
        <v>1248</v>
      </c>
      <c r="I12" s="88">
        <f t="shared" si="2"/>
        <v>-6</v>
      </c>
      <c r="J12" s="88">
        <f t="shared" si="2"/>
        <v>-628</v>
      </c>
      <c r="K12" s="88">
        <f t="shared" si="2"/>
        <v>-368</v>
      </c>
      <c r="L12" s="186">
        <f>IFERROR((SUM(C12:K12)/SUM('1.IS'!C3:K3))*'1.IS'!L3,"")</f>
        <v>354.14478464601945</v>
      </c>
      <c r="M12" s="187">
        <f>IFERROR(IF(AND(M7&lt;&gt;"",M8&lt;&gt;"",M10&lt;&gt;""),(M7+M8-M9-M10)-(L7+L8-L9-L10),(L12/'1.IS'!L3)*'1.IS'!M3),"")</f>
        <v>369.56759613838904</v>
      </c>
      <c r="N12" s="187">
        <f>IFERROR(IF(AND(N7&lt;&gt;"",N8&lt;&gt;"",N10&lt;&gt;""),(N7+N8-N9-N10)-(M7+M8-M9-M10),(M12/'1.IS'!M3)*'1.IS'!N3),"")</f>
        <v>385.66206262792861</v>
      </c>
      <c r="O12" s="187">
        <f>IFERROR(IF(AND(O7&lt;&gt;"",O8&lt;&gt;"",O10&lt;&gt;""),(O7+O8-O9-O10)-(N7+N8-N9-N10),(N12/'1.IS'!N3)*'1.IS'!O3),"")</f>
        <v>402.4574343220628</v>
      </c>
      <c r="P12" s="188">
        <f>IFERROR(IF(AND(P7&lt;&gt;"",P8&lt;&gt;"",P10&lt;&gt;""),(P7+P8-P9-P10)-(O7+O8-O9-O10),(O12/'1.IS'!O3)*'1.IS'!P3),"")</f>
        <v>419.98423525873636</v>
      </c>
      <c r="Q12" s="13"/>
      <c r="R12" s="317"/>
    </row>
    <row r="13" spans="1:18" s="6" customFormat="1" ht="25" customHeight="1" thickTop="1" x14ac:dyDescent="0.2">
      <c r="A13" s="18" t="s">
        <v>108</v>
      </c>
      <c r="B13" s="122" t="str">
        <f>'1.IS'!B19</f>
        <v>0</v>
      </c>
      <c r="C13" s="88" t="str">
        <f>'1.IS'!C19</f>
        <v>0</v>
      </c>
      <c r="D13" s="88" t="str">
        <f>'1.IS'!D19</f>
        <v>0</v>
      </c>
      <c r="E13" s="88" t="str">
        <f>'1.IS'!E19</f>
        <v>0</v>
      </c>
      <c r="F13" s="88" t="str">
        <f>'1.IS'!F19</f>
        <v>0</v>
      </c>
      <c r="G13" s="88" t="str">
        <f>'1.IS'!G19</f>
        <v>0</v>
      </c>
      <c r="H13" s="88" t="str">
        <f>'1.IS'!H19</f>
        <v>0</v>
      </c>
      <c r="I13" s="88" t="str">
        <f>'1.IS'!I19</f>
        <v>0</v>
      </c>
      <c r="J13" s="88" t="str">
        <f>'1.IS'!J19</f>
        <v>0</v>
      </c>
      <c r="K13" s="88" t="str">
        <f>'1.IS'!K19</f>
        <v>0</v>
      </c>
      <c r="L13" s="122">
        <f>'1.IS'!L19</f>
        <v>0</v>
      </c>
      <c r="M13" s="88">
        <f>'1.IS'!M19</f>
        <v>0</v>
      </c>
      <c r="N13" s="88">
        <f>'1.IS'!N19</f>
        <v>0</v>
      </c>
      <c r="O13" s="88">
        <f>'1.IS'!O19</f>
        <v>0</v>
      </c>
      <c r="P13" s="126">
        <f>'1.IS'!P19</f>
        <v>0</v>
      </c>
      <c r="Q13" s="13"/>
      <c r="R13" s="317"/>
    </row>
    <row r="14" spans="1:18" s="6" customFormat="1" ht="25" customHeight="1" x14ac:dyDescent="0.2">
      <c r="A14" s="73" t="s">
        <v>13</v>
      </c>
      <c r="B14" s="123">
        <f>B3+B4+B5+B6-B12+B13</f>
        <v>3633</v>
      </c>
      <c r="C14" s="89">
        <f t="shared" ref="C14:H14" si="3">C3+C4+C5+C6-C12+C13</f>
        <v>3258</v>
      </c>
      <c r="D14" s="89">
        <f t="shared" si="3"/>
        <v>2230</v>
      </c>
      <c r="E14" s="89">
        <f t="shared" si="3"/>
        <v>3164</v>
      </c>
      <c r="F14" s="89">
        <f t="shared" si="3"/>
        <v>2490</v>
      </c>
      <c r="G14" s="89">
        <f t="shared" si="3"/>
        <v>5524</v>
      </c>
      <c r="H14" s="89">
        <f t="shared" si="3"/>
        <v>4740</v>
      </c>
      <c r="I14" s="89">
        <f t="shared" ref="I14:K14" si="4">I3+I4+I5+I6-I12+I13</f>
        <v>4796</v>
      </c>
      <c r="J14" s="89">
        <f t="shared" si="4"/>
        <v>6543</v>
      </c>
      <c r="K14" s="89">
        <f t="shared" si="4"/>
        <v>3856</v>
      </c>
      <c r="L14" s="123">
        <f>IFERROR(L3+L4+L5+L6-L12+L13,"")</f>
        <v>4684.8245935014829</v>
      </c>
      <c r="M14" s="89">
        <f t="shared" ref="M14:P14" si="5">IFERROR(M3+M4+M5+M6-M12+M13,"")</f>
        <v>4888.8461398094714</v>
      </c>
      <c r="N14" s="89">
        <f t="shared" si="5"/>
        <v>5101.7527127661951</v>
      </c>
      <c r="O14" s="89">
        <f t="shared" si="5"/>
        <v>5323.9312504180343</v>
      </c>
      <c r="P14" s="128">
        <f t="shared" si="5"/>
        <v>5555.7855417514647</v>
      </c>
      <c r="Q14" s="13"/>
    </row>
    <row r="15" spans="1:18" s="6" customFormat="1" ht="25" customHeight="1" x14ac:dyDescent="0.2">
      <c r="A15" s="129" t="s">
        <v>93</v>
      </c>
      <c r="B15" s="124">
        <f>IFERROR(B14/'1.IS'!B3,"")</f>
        <v>0.11221275018532247</v>
      </c>
      <c r="C15" s="22">
        <f>IFERROR(C14/'1.IS'!C3,"")</f>
        <v>9.4847161572052405E-2</v>
      </c>
      <c r="D15" s="22">
        <f>IFERROR(D14/'1.IS'!D3,"")</f>
        <v>6.1268785888946894E-2</v>
      </c>
      <c r="E15" s="22">
        <f>IFERROR(E14/'1.IS'!E3,"")</f>
        <v>8.0885548482756864E-2</v>
      </c>
      <c r="F15" s="22">
        <f>IFERROR(F14/'1.IS'!F3,"")</f>
        <v>6.6572200090901798E-2</v>
      </c>
      <c r="G15" s="22">
        <f>IFERROR(G14/'1.IS'!G3,"")</f>
        <v>0.12402891912524136</v>
      </c>
      <c r="H15" s="62">
        <f>IFERROR(H14/'1.IS'!H3,"")</f>
        <v>0.1014771997430957</v>
      </c>
      <c r="I15" s="62">
        <f>IFERROR(I14/'1.IS'!I3,"")</f>
        <v>9.3640783333658745E-2</v>
      </c>
      <c r="J15" s="62">
        <f>IFERROR(J14/'1.IS'!J3,"")</f>
        <v>0.12738989914722948</v>
      </c>
      <c r="K15" s="62">
        <f>IFERROR(K14/'1.IS'!K3,"")</f>
        <v>8.3266751603360042E-2</v>
      </c>
      <c r="L15" s="54">
        <f>IFERROR(L14/'1.IS'!L3,"")</f>
        <v>9.6942652260073522E-2</v>
      </c>
      <c r="M15" s="22">
        <f>IFERROR(M14/'1.IS'!M3,"")</f>
        <v>9.6942652260073522E-2</v>
      </c>
      <c r="N15" s="22">
        <f>IFERROR(N14/'1.IS'!N3,"")</f>
        <v>9.694265226007355E-2</v>
      </c>
      <c r="O15" s="22">
        <f>IFERROR(O14/'1.IS'!O3,"")</f>
        <v>9.6942652260073536E-2</v>
      </c>
      <c r="P15" s="130">
        <f>IFERROR(P14/'1.IS'!P3,"")</f>
        <v>9.694265226007355E-2</v>
      </c>
      <c r="Q15" s="13"/>
    </row>
    <row r="16" spans="1:18" s="6" customFormat="1" ht="25" customHeight="1" x14ac:dyDescent="0.2">
      <c r="A16" s="67" t="s">
        <v>11</v>
      </c>
      <c r="B16" s="125"/>
      <c r="C16" s="22">
        <f t="shared" ref="C16:P16" si="6">IFERROR((C14-B14)/B14,"")</f>
        <v>-0.10322047894302229</v>
      </c>
      <c r="D16" s="22">
        <f t="shared" si="6"/>
        <v>-0.31553100061387357</v>
      </c>
      <c r="E16" s="22">
        <f t="shared" si="6"/>
        <v>0.41883408071748879</v>
      </c>
      <c r="F16" s="22">
        <f t="shared" si="6"/>
        <v>-0.21302149178255372</v>
      </c>
      <c r="G16" s="22">
        <f t="shared" si="6"/>
        <v>1.2184738955823293</v>
      </c>
      <c r="H16" s="62">
        <f t="shared" si="6"/>
        <v>-0.14192614047791455</v>
      </c>
      <c r="I16" s="62">
        <f t="shared" ref="I16" si="7">IFERROR((I14-H14)/H14,"")</f>
        <v>1.1814345991561181E-2</v>
      </c>
      <c r="J16" s="62">
        <f t="shared" ref="J16" si="8">IFERROR((J14-I14)/I14,"")</f>
        <v>0.36426188490408673</v>
      </c>
      <c r="K16" s="62">
        <f t="shared" ref="K16" si="9">IFERROR((K14-J14)/J14,"")</f>
        <v>-0.41066788934739418</v>
      </c>
      <c r="L16" s="54">
        <f>IFERROR((L14-K14)/K14,"")</f>
        <v>0.21494413731884932</v>
      </c>
      <c r="M16" s="22">
        <f t="shared" si="6"/>
        <v>4.354945254321696E-2</v>
      </c>
      <c r="N16" s="22">
        <f t="shared" si="6"/>
        <v>4.3549452543217314E-2</v>
      </c>
      <c r="O16" s="22">
        <f t="shared" si="6"/>
        <v>4.3549452543216835E-2</v>
      </c>
      <c r="P16" s="130">
        <f t="shared" si="6"/>
        <v>4.354945254321705E-2</v>
      </c>
      <c r="Q16" s="13"/>
    </row>
    <row r="17" spans="1:17" s="6" customFormat="1" ht="25" customHeight="1" x14ac:dyDescent="0.2">
      <c r="A17" s="67" t="s">
        <v>106</v>
      </c>
      <c r="B17" s="93">
        <f>IFERROR(B14/'1.IS'!B25,"")</f>
        <v>2.08493543758967</v>
      </c>
      <c r="C17" s="91">
        <f>IFERROR(C14/'1.IS'!C25,"")</f>
        <v>1.925531914893617</v>
      </c>
      <c r="D17" s="91">
        <f>IFERROR(D14/'1.IS'!D25,"")</f>
        <v>1.3441022240974023</v>
      </c>
      <c r="E17" s="91">
        <f>IFERROR(E14/'1.IS'!E25,"")</f>
        <v>1.9550173010380623</v>
      </c>
      <c r="F17" s="91">
        <f>IFERROR(F14/'1.IS'!F25,"")</f>
        <v>1.5644634330233729</v>
      </c>
      <c r="G17" s="91">
        <f>IFERROR(G14/'1.IS'!G25,"")</f>
        <v>3.4323350316888281</v>
      </c>
      <c r="H17" s="91">
        <f>IFERROR(H14/'1.IS'!H25,"")</f>
        <v>2.9426371989073754</v>
      </c>
      <c r="I17" s="91">
        <f>IFERROR(I14/'1.IS'!I25,"")</f>
        <v>3.0551662632182444</v>
      </c>
      <c r="J17" s="91">
        <f>IFERROR(J14/'1.IS'!J25,"")</f>
        <v>4.2773092763286922</v>
      </c>
      <c r="K17" s="91">
        <f>IFERROR(K14/'1.IS'!K25,"")</f>
        <v>2.5920946490992205</v>
      </c>
      <c r="L17" s="93">
        <f>IFERROR(L14/'1.IS'!L25,"")</f>
        <v>3.2047937994510987</v>
      </c>
      <c r="M17" s="91">
        <f>IFERROR(M14/'1.IS'!M25,"")</f>
        <v>3.4033456001723783</v>
      </c>
      <c r="N17" s="91">
        <f>IFERROR(N14/'1.IS'!N25,"")</f>
        <v>3.6141986034160856</v>
      </c>
      <c r="O17" s="91">
        <f>IFERROR(O14/'1.IS'!O25,"")</f>
        <v>3.8381149255818059</v>
      </c>
      <c r="P17" s="92">
        <f>IFERROR(P14/'1.IS'!P25,"")</f>
        <v>4.0759038997055113</v>
      </c>
      <c r="Q17" s="14"/>
    </row>
    <row r="18" spans="1:17" s="6" customFormat="1" ht="25" customHeight="1" x14ac:dyDescent="0.2">
      <c r="A18" s="67" t="s">
        <v>11</v>
      </c>
      <c r="B18" s="106"/>
      <c r="C18" s="10">
        <f>IFERROR((C17-B17)/B17,"")</f>
        <v>-7.6454896311002607E-2</v>
      </c>
      <c r="D18" s="10">
        <f t="shared" ref="D18:P18" si="10">IFERROR((D17-C17)/C17,"")</f>
        <v>-0.30195796096598992</v>
      </c>
      <c r="E18" s="10">
        <f t="shared" si="10"/>
        <v>0.45451533818486495</v>
      </c>
      <c r="F18" s="10">
        <f t="shared" si="10"/>
        <v>-0.19977003160397386</v>
      </c>
      <c r="G18" s="10">
        <f t="shared" si="10"/>
        <v>1.1939375246730677</v>
      </c>
      <c r="H18" s="10">
        <f t="shared" si="10"/>
        <v>-0.14267192108589247</v>
      </c>
      <c r="I18" s="10">
        <f t="shared" si="10"/>
        <v>3.8240889618554368E-2</v>
      </c>
      <c r="J18" s="10">
        <f t="shared" si="10"/>
        <v>0.40002504211442474</v>
      </c>
      <c r="K18" s="10">
        <f t="shared" si="10"/>
        <v>-0.39398942614594568</v>
      </c>
      <c r="L18" s="106">
        <f t="shared" si="10"/>
        <v>0.23637221370940192</v>
      </c>
      <c r="M18" s="10">
        <f t="shared" si="10"/>
        <v>6.1954625834363078E-2</v>
      </c>
      <c r="N18" s="10">
        <f t="shared" si="10"/>
        <v>6.1954625834363584E-2</v>
      </c>
      <c r="O18" s="10">
        <f t="shared" si="10"/>
        <v>6.1954625834362842E-2</v>
      </c>
      <c r="P18" s="114">
        <f t="shared" si="10"/>
        <v>6.1954625834363154E-2</v>
      </c>
      <c r="Q18" s="14"/>
    </row>
    <row r="19" spans="1:17" s="6" customFormat="1" ht="25" customHeight="1" x14ac:dyDescent="0.2">
      <c r="A19" s="164" t="s">
        <v>144</v>
      </c>
      <c r="B19" s="131">
        <f>IFERROR(VLOOKUP("Net Change in Cash*",'9.TIKR_CF'!$A:$K,COLUMN(B19),FALSE),"0")</f>
        <v>-714</v>
      </c>
      <c r="C19" s="132">
        <f>IFERROR(VLOOKUP("Net Change in Cash*",'9.TIKR_CF'!$A:$K,COLUMN(C19),FALSE),"0")</f>
        <v>670</v>
      </c>
      <c r="D19" s="132">
        <f>IFERROR(VLOOKUP("Net Change in Cash*",'9.TIKR_CF'!$A:$K,COLUMN(D19),FALSE),"0")</f>
        <v>441</v>
      </c>
      <c r="E19" s="132">
        <f>IFERROR(VLOOKUP("Net Change in Cash*",'9.TIKR_CF'!$A:$K,COLUMN(E19),FALSE),"0")</f>
        <v>217</v>
      </c>
      <c r="F19" s="132">
        <f>IFERROR(VLOOKUP("Net Change in Cash*",'9.TIKR_CF'!$A:$K,COLUMN(F19),FALSE),"0")</f>
        <v>3882</v>
      </c>
      <c r="G19" s="132">
        <f>IFERROR(VLOOKUP("Net Change in Cash*",'9.TIKR_CF'!$A:$K,COLUMN(G19),FALSE),"0")</f>
        <v>1541</v>
      </c>
      <c r="H19" s="132">
        <f>IFERROR(VLOOKUP("Net Change in Cash*",'9.TIKR_CF'!$A:$K,COLUMN(H19),FALSE),"0")</f>
        <v>-1315</v>
      </c>
      <c r="I19" s="132">
        <f>IFERROR(VLOOKUP("Net Change in Cash*",'9.TIKR_CF'!$A:$K,COLUMN(I19),FALSE),"0")</f>
        <v>-1133</v>
      </c>
      <c r="J19" s="132">
        <f>IFERROR(VLOOKUP("Net Change in Cash*",'9.TIKR_CF'!$A:$K,COLUMN(J19),FALSE),"0")</f>
        <v>2419</v>
      </c>
      <c r="K19" s="132">
        <f>IFERROR(VLOOKUP("Net Change in Cash*",'9.TIKR_CF'!$A:$K,COLUMN(K19),FALSE),"0")</f>
        <v>-2396</v>
      </c>
      <c r="L19" s="131">
        <f>IF('4.Valoración'!L4&gt;0,IFERROR('4.Valoración'!L4-'4.Valoración'!K4,0),IFERROR('4.Valoración'!K4-'4.Valoración'!L4,0))</f>
        <v>1011.5600623790215</v>
      </c>
      <c r="M19" s="132">
        <f>IF('4.Valoración'!M4&gt;0,IFERROR('4.Valoración'!M4-'4.Valoración'!L4,0),IFERROR('4.Valoración'!L4-'4.Valoración'!M4,0))</f>
        <v>95.528339837271233</v>
      </c>
      <c r="N19" s="132">
        <f>IF('4.Valoración'!N4&gt;0,IFERROR('4.Valoración'!N4-'4.Valoración'!M4,0),IFERROR('4.Valoración'!M4-'4.Valoración'!N4,0))</f>
        <v>99.688546739546837</v>
      </c>
      <c r="O19" s="132">
        <f>IF('4.Valoración'!O4&gt;0,IFERROR('4.Valoración'!O4-'4.Valoración'!N4,0),IFERROR('4.Valoración'!N4-'4.Valoración'!O4,0))</f>
        <v>104.02992837488273</v>
      </c>
      <c r="P19" s="240">
        <f>IF('4.Valoración'!P4&gt;0,IFERROR('4.Valoración'!P4-'4.Valoración'!O4,0),IFERROR('4.Valoración'!O4-'4.Valoración'!P4,0))</f>
        <v>108.56037480371924</v>
      </c>
      <c r="Q19" s="14"/>
    </row>
    <row r="20" spans="1:17" s="6" customFormat="1" ht="24.75" customHeight="1" x14ac:dyDescent="0.2">
      <c r="A20" s="18"/>
      <c r="B20" s="12"/>
      <c r="C20" s="12"/>
      <c r="D20" s="12"/>
      <c r="E20" s="12"/>
      <c r="F20" s="12"/>
      <c r="G20" s="12"/>
      <c r="H20" s="12"/>
      <c r="I20" s="12"/>
      <c r="J20" s="12"/>
      <c r="K20" s="12"/>
      <c r="L20" s="12"/>
      <c r="M20" s="12"/>
      <c r="N20" s="12"/>
      <c r="O20" s="12"/>
      <c r="P20" s="12"/>
      <c r="Q20" s="7"/>
    </row>
    <row r="21" spans="1:17" s="6" customFormat="1" ht="35" customHeight="1" thickBot="1" x14ac:dyDescent="0.25">
      <c r="A21" s="103" t="s">
        <v>70</v>
      </c>
      <c r="B21" s="55">
        <f>'1.IS'!B$2</f>
        <v>2016</v>
      </c>
      <c r="C21" s="55">
        <f>'1.IS'!C$2</f>
        <v>2017</v>
      </c>
      <c r="D21" s="55">
        <f>'1.IS'!D$2</f>
        <v>2018</v>
      </c>
      <c r="E21" s="55">
        <f>'1.IS'!E$2</f>
        <v>2019</v>
      </c>
      <c r="F21" s="55">
        <f>'1.IS'!F$2</f>
        <v>2020</v>
      </c>
      <c r="G21" s="55">
        <f>'1.IS'!G$2</f>
        <v>2021</v>
      </c>
      <c r="H21" s="55">
        <f>'1.IS'!H$2</f>
        <v>2022</v>
      </c>
      <c r="I21" s="55">
        <f>'1.IS'!I$2</f>
        <v>2023</v>
      </c>
      <c r="J21" s="55">
        <f>'1.IS'!J$2</f>
        <v>2024</v>
      </c>
      <c r="K21" s="55">
        <f>'1.IS'!K$2</f>
        <v>2025</v>
      </c>
      <c r="L21" s="8" t="str">
        <f>'1.IS'!L$2</f>
        <v>2026e</v>
      </c>
      <c r="M21" s="8" t="str">
        <f>'1.IS'!M$2</f>
        <v>2027e</v>
      </c>
      <c r="N21" s="8" t="str">
        <f>'1.IS'!N$2</f>
        <v>2028e</v>
      </c>
      <c r="O21" s="8" t="str">
        <f>'1.IS'!O$2</f>
        <v>2029e</v>
      </c>
      <c r="P21" s="8" t="str">
        <f>'1.IS'!P$2</f>
        <v>2030e</v>
      </c>
      <c r="Q21" s="97" t="str">
        <f>"Promedio "&amp;CHAR(10)&amp;$B$2&amp;"-"&amp;$K$2</f>
        <v>Promedio 
2016-2025</v>
      </c>
    </row>
    <row r="22" spans="1:17" s="6" customFormat="1" ht="25" customHeight="1" thickTop="1" thickBot="1" x14ac:dyDescent="0.25">
      <c r="A22" s="18" t="s">
        <v>60</v>
      </c>
      <c r="B22" s="124">
        <f>IFERROR(ABS(B4)/'1.IS'!B$3,"")</f>
        <v>2.0045712873733631E-2</v>
      </c>
      <c r="C22" s="22">
        <f>IFERROR(ABS(C4)/'1.IS'!C$3,"")</f>
        <v>2.0553129548762736E-2</v>
      </c>
      <c r="D22" s="22">
        <f>IFERROR(ABS(D4)/'1.IS'!D$3,"")</f>
        <v>2.0523669533203285E-2</v>
      </c>
      <c r="E22" s="22">
        <f>IFERROR(ABS(E4)/'1.IS'!E$3,"")</f>
        <v>1.8022854513382928E-2</v>
      </c>
      <c r="F22" s="22">
        <f>IFERROR(ABS(F4)/'1.IS'!F$3,"")</f>
        <v>1.9276528620698875E-2</v>
      </c>
      <c r="G22" s="22">
        <f>IFERROR(ABS(G4)/'1.IS'!G$3,"")</f>
        <v>1.5604652207104046E-2</v>
      </c>
      <c r="H22" s="22">
        <f>IFERROR(ABS(H4)/'1.IS'!H$3,"")</f>
        <v>1.5350032113037893E-2</v>
      </c>
      <c r="I22" s="22">
        <f>IFERROR(ABS(I4)/'1.IS'!I$3,"")</f>
        <v>1.3725911318507526E-2</v>
      </c>
      <c r="J22" s="22">
        <f>IFERROR(ABS(J4)/'1.IS'!J$3,"")</f>
        <v>1.5497838869202913E-2</v>
      </c>
      <c r="K22" s="22">
        <f>IFERROR(ABS(K4)/'1.IS'!K$3,"")</f>
        <v>9.2854520719514565E-3</v>
      </c>
      <c r="L22" s="249">
        <f>IFERROR(ABS((K4*'1.IS'!L4)+'2.FCF'!K4)/'1.IS'!L$3,"")</f>
        <v>9.2854520719514565E-3</v>
      </c>
      <c r="M22" s="250">
        <f>$L$22</f>
        <v>9.2854520719514565E-3</v>
      </c>
      <c r="N22" s="250">
        <f t="shared" ref="N22:P22" si="11">$L$22</f>
        <v>9.2854520719514565E-3</v>
      </c>
      <c r="O22" s="250">
        <f t="shared" si="11"/>
        <v>9.2854520719514565E-3</v>
      </c>
      <c r="P22" s="251">
        <f t="shared" si="11"/>
        <v>9.2854520719514565E-3</v>
      </c>
      <c r="Q22" s="133">
        <f>IFERROR(AVERAGE(B22:K22),"")</f>
        <v>1.6788578166958529E-2</v>
      </c>
    </row>
    <row r="23" spans="1:17" s="6" customFormat="1" ht="24.75" customHeight="1" thickTop="1" x14ac:dyDescent="0.2">
      <c r="A23" s="18" t="s">
        <v>59</v>
      </c>
      <c r="B23" s="124">
        <f>IFERROR(B11/'1.IS'!B$3,"")</f>
        <v>0.1818631084754139</v>
      </c>
      <c r="C23" s="22">
        <f>IFERROR(C11/'1.IS'!C$3,"")</f>
        <v>0.19458515283842795</v>
      </c>
      <c r="D23" s="22">
        <f>IFERROR(D11/'1.IS'!D$3,"")</f>
        <v>0.17803665137236585</v>
      </c>
      <c r="E23" s="22">
        <f>IFERROR(E11/'1.IS'!E$3,"")</f>
        <v>0.18615947030702765</v>
      </c>
      <c r="F23" s="22">
        <f>IFERROR(F11/'1.IS'!F$3,"")</f>
        <v>0.21035745795791783</v>
      </c>
      <c r="G23" s="22">
        <f>IFERROR(G11/'1.IS'!G$3,"")</f>
        <v>0.19042166240064665</v>
      </c>
      <c r="H23" s="22">
        <f>IFERROR(H11/'1.IS'!H$3,"")</f>
        <v>0.20828516377649325</v>
      </c>
      <c r="I23" s="22">
        <f>IFERROR(I11/'1.IS'!I$3,"")</f>
        <v>0.18983931116621433</v>
      </c>
      <c r="J23" s="22">
        <f>IFERROR(J11/'1.IS'!J$3,"")</f>
        <v>0.1770764378334177</v>
      </c>
      <c r="K23" s="22">
        <f>IFERROR(K11/'1.IS'!K$3,"")</f>
        <v>0.1884514889114427</v>
      </c>
      <c r="L23" s="124">
        <f>IFERROR(L11/'1.IS'!L$3,"")</f>
        <v>0.18791530897495931</v>
      </c>
      <c r="M23" s="22">
        <f>IFERROR(M11/'1.IS'!M$3,"")</f>
        <v>0.18740150492362598</v>
      </c>
      <c r="N23" s="22">
        <f>IFERROR(N11/'1.IS'!N$3,"")</f>
        <v>0.18690914296600034</v>
      </c>
      <c r="O23" s="22">
        <f>IFERROR(O11/'1.IS'!O$3,"")</f>
        <v>0.18643732827966639</v>
      </c>
      <c r="P23" s="22">
        <f>IFERROR(P11/'1.IS'!P$3,"")</f>
        <v>0.18598520338497732</v>
      </c>
      <c r="Q23" s="133">
        <f>IFERROR(AVERAGE(B23:K23),"")</f>
        <v>0.19050759050393679</v>
      </c>
    </row>
    <row r="24" spans="1:17" s="6" customFormat="1" ht="25" customHeight="1" x14ac:dyDescent="0.2">
      <c r="A24" s="18" t="s">
        <v>64</v>
      </c>
      <c r="B24" s="124">
        <f>IFERROR(B14/'1.IS'!B$3,"")</f>
        <v>0.11221275018532247</v>
      </c>
      <c r="C24" s="22">
        <f>IFERROR(C14/'1.IS'!C$3,"")</f>
        <v>9.4847161572052405E-2</v>
      </c>
      <c r="D24" s="22">
        <f>IFERROR(D14/'1.IS'!D$3,"")</f>
        <v>6.1268785888946894E-2</v>
      </c>
      <c r="E24" s="22">
        <f>IFERROR(E14/'1.IS'!E$3,"")</f>
        <v>8.0885548482756864E-2</v>
      </c>
      <c r="F24" s="22">
        <f>IFERROR(F14/'1.IS'!F$3,"")</f>
        <v>6.6572200090901798E-2</v>
      </c>
      <c r="G24" s="22">
        <f>IFERROR(G14/'1.IS'!G$3,"")</f>
        <v>0.12402891912524136</v>
      </c>
      <c r="H24" s="22">
        <f>IFERROR(H14/'1.IS'!H$3,"")</f>
        <v>0.1014771997430957</v>
      </c>
      <c r="I24" s="22">
        <f>IFERROR(I14/'1.IS'!I$3,"")</f>
        <v>9.3640783333658745E-2</v>
      </c>
      <c r="J24" s="22">
        <f>IFERROR(J14/'1.IS'!J$3,"")</f>
        <v>0.12738989914722948</v>
      </c>
      <c r="K24" s="22">
        <f>IFERROR(K14/'1.IS'!K$3,"")</f>
        <v>8.3266751603360042E-2</v>
      </c>
      <c r="L24" s="124">
        <f>IFERROR(L14/'1.IS'!L$3,"")</f>
        <v>9.6942652260073522E-2</v>
      </c>
      <c r="M24" s="22">
        <f>IFERROR(M14/'1.IS'!M$3,"")</f>
        <v>9.6942652260073522E-2</v>
      </c>
      <c r="N24" s="22">
        <f>IFERROR(N14/'1.IS'!N$3,"")</f>
        <v>9.694265226007355E-2</v>
      </c>
      <c r="O24" s="22">
        <f>IFERROR(O14/'1.IS'!O$3,"")</f>
        <v>9.6942652260073536E-2</v>
      </c>
      <c r="P24" s="22">
        <f>IFERROR(P14/'1.IS'!P$3,"")</f>
        <v>9.694265226007355E-2</v>
      </c>
      <c r="Q24" s="133">
        <f>IFERROR(AVERAGE(B24:K24),"")</f>
        <v>9.4558999917256581E-2</v>
      </c>
    </row>
    <row r="25" spans="1:17" ht="25" customHeight="1" x14ac:dyDescent="0.2">
      <c r="A25" s="23" t="s">
        <v>76</v>
      </c>
      <c r="B25" s="120">
        <f t="shared" ref="B25:P25" si="12">IFERROR(B14/B3,"")</f>
        <v>0.70352439969016267</v>
      </c>
      <c r="C25" s="121">
        <f t="shared" si="12"/>
        <v>0.59615736505032024</v>
      </c>
      <c r="D25" s="121">
        <f t="shared" si="12"/>
        <v>0.4272849204828511</v>
      </c>
      <c r="E25" s="121">
        <f t="shared" si="12"/>
        <v>0.5761107064821559</v>
      </c>
      <c r="F25" s="121">
        <f t="shared" si="12"/>
        <v>0.58809636277751531</v>
      </c>
      <c r="G25" s="121">
        <f t="shared" si="12"/>
        <v>0.68809167912306923</v>
      </c>
      <c r="H25" s="121">
        <f t="shared" si="12"/>
        <v>0.63073852295409183</v>
      </c>
      <c r="I25" s="121">
        <f t="shared" ref="I25:K25" si="13">IFERROR(I14/I3,"")</f>
        <v>0.72469023874282257</v>
      </c>
      <c r="J25" s="121">
        <f t="shared" si="13"/>
        <v>0.86662251655629141</v>
      </c>
      <c r="K25" s="121">
        <f t="shared" si="13"/>
        <v>0.86129104310922489</v>
      </c>
      <c r="L25" s="120">
        <f t="shared" si="12"/>
        <v>0.6903525307412639</v>
      </c>
      <c r="M25" s="121">
        <f t="shared" si="12"/>
        <v>0.69035253074126379</v>
      </c>
      <c r="N25" s="121">
        <f t="shared" si="12"/>
        <v>0.69035253074126401</v>
      </c>
      <c r="O25" s="121">
        <f t="shared" si="12"/>
        <v>0.69035253074126401</v>
      </c>
      <c r="P25" s="121">
        <f t="shared" si="12"/>
        <v>0.69035253074126401</v>
      </c>
      <c r="Q25" s="134">
        <f>IFERROR(AVERAGE(B25:K25),"")</f>
        <v>0.66626077549685059</v>
      </c>
    </row>
    <row r="26" spans="1:17" ht="25" customHeight="1" x14ac:dyDescent="0.2">
      <c r="A26" s="67"/>
      <c r="B26" s="10"/>
      <c r="C26" s="10"/>
      <c r="D26" s="10"/>
      <c r="E26" s="10"/>
      <c r="F26" s="10"/>
      <c r="G26" s="10"/>
      <c r="H26" s="10"/>
      <c r="I26" s="10"/>
      <c r="J26" s="10"/>
      <c r="K26" s="10"/>
      <c r="L26" s="10"/>
      <c r="M26" s="10"/>
      <c r="N26" s="10"/>
      <c r="O26" s="10"/>
      <c r="P26" s="10"/>
      <c r="Q26" s="101"/>
    </row>
    <row r="27" spans="1:17" ht="35" customHeight="1" x14ac:dyDescent="0.2">
      <c r="A27" s="103" t="s">
        <v>134</v>
      </c>
      <c r="B27" s="55">
        <f>'1.IS'!B$2</f>
        <v>2016</v>
      </c>
      <c r="C27" s="55">
        <f>'1.IS'!C$2</f>
        <v>2017</v>
      </c>
      <c r="D27" s="55">
        <f>'1.IS'!D$2</f>
        <v>2018</v>
      </c>
      <c r="E27" s="55">
        <f>'1.IS'!E$2</f>
        <v>2019</v>
      </c>
      <c r="F27" s="55">
        <f>'1.IS'!F$2</f>
        <v>2020</v>
      </c>
      <c r="G27" s="55">
        <f>'1.IS'!G$2</f>
        <v>2021</v>
      </c>
      <c r="H27" s="55">
        <f>'1.IS'!H$2</f>
        <v>2022</v>
      </c>
      <c r="I27" s="55">
        <f>'1.IS'!I$2</f>
        <v>2023</v>
      </c>
      <c r="J27" s="55">
        <f>'1.IS'!J$2</f>
        <v>2024</v>
      </c>
      <c r="K27" s="55">
        <f>'1.IS'!K$2</f>
        <v>2025</v>
      </c>
      <c r="L27" s="194" t="str">
        <f>"Promedio "&amp;CHAR(10)&amp;$B$2&amp;"-"&amp;$K$2</f>
        <v>Promedio 
2016-2025</v>
      </c>
      <c r="M27" s="69"/>
      <c r="N27" s="10"/>
      <c r="O27" s="10"/>
      <c r="P27" s="10"/>
      <c r="Q27" s="101"/>
    </row>
    <row r="28" spans="1:17" ht="25" customHeight="1" x14ac:dyDescent="0.2">
      <c r="A28" s="18" t="s">
        <v>159</v>
      </c>
      <c r="B28" s="124">
        <f>IF(B14&gt;0,IFERROR(TIKR_Cálculos!B40/B$14,""),"-")</f>
        <v>0.13322323148912743</v>
      </c>
      <c r="C28" s="22">
        <f>IF(C14&gt;0,IFERROR(TIKR_Cálculos!C40/C$14,""),"-")</f>
        <v>0.11847759361571517</v>
      </c>
      <c r="D28" s="22">
        <f>IF(D14&gt;0,IFERROR(TIKR_Cálculos!D40/D$14,""),"-")</f>
        <v>0.12600896860986546</v>
      </c>
      <c r="E28" s="22">
        <f>IF(E14&gt;0,IFERROR(TIKR_Cálculos!E40/E$14,""),"-")</f>
        <v>0.13084702907711757</v>
      </c>
      <c r="F28" s="22">
        <f>IF(F14&gt;0,IFERROR(TIKR_Cálculos!F40/F$14,""),"-")</f>
        <v>0.1465863453815261</v>
      </c>
      <c r="G28" s="22">
        <f>IF(G14&gt;0,IFERROR(TIKR_Cálculos!G40/G$14,""),"-")</f>
        <v>0</v>
      </c>
      <c r="H28" s="22">
        <f>IF(H14&gt;0,IFERROR(TIKR_Cálculos!H40/H$14,""),"-")</f>
        <v>8.6497890295358648E-3</v>
      </c>
      <c r="I28" s="22">
        <f>IF(I14&gt;0,IFERROR(TIKR_Cálculos!I40/I$14,""),"-")</f>
        <v>5.5462885738115093E-2</v>
      </c>
      <c r="J28" s="22">
        <f>IF(J14&gt;0,IFERROR(TIKR_Cálculos!J40/J$14,""),"-")</f>
        <v>2.4453614549900657E-3</v>
      </c>
      <c r="K28" s="22">
        <f>IF(K14&gt;0,IFERROR(TIKR_Cálculos!K40/K$14,""),"-")</f>
        <v>0</v>
      </c>
      <c r="L28" s="253">
        <f>IFERROR(AVERAGE(B28:K28),"")</f>
        <v>7.2170120439599278E-2</v>
      </c>
      <c r="M28" s="252"/>
      <c r="N28" s="6"/>
      <c r="O28" s="10"/>
      <c r="P28" s="10"/>
      <c r="Q28" s="101"/>
    </row>
    <row r="29" spans="1:17" ht="25" customHeight="1" x14ac:dyDescent="0.2">
      <c r="A29" s="18" t="s">
        <v>181</v>
      </c>
      <c r="B29" s="124">
        <f>IF(B14&gt;0,IFERROR(TIKR_Cálculos!B43/B$14,""),"-")</f>
        <v>0</v>
      </c>
      <c r="C29" s="22">
        <f>IF(C14&gt;0,IFERROR(TIKR_Cálculos!C43/C$14,""),"-")</f>
        <v>0</v>
      </c>
      <c r="D29" s="22">
        <f>IF(D14&gt;0,IFERROR(TIKR_Cálculos!D43/D$14,""),"-")</f>
        <v>0</v>
      </c>
      <c r="E29" s="22">
        <f>IF(E14&gt;0,IFERROR(TIKR_Cálculos!E43/E$14,""),"-")</f>
        <v>0</v>
      </c>
      <c r="F29" s="22">
        <f>IF(F14&gt;0,IFERROR(TIKR_Cálculos!F43/F$14,""),"-")</f>
        <v>0</v>
      </c>
      <c r="G29" s="22">
        <f>IF(G14&gt;0,IFERROR(TIKR_Cálculos!G43/G$14,""),"-")</f>
        <v>0</v>
      </c>
      <c r="H29" s="22">
        <f>IF(H14&gt;0,IFERROR(TIKR_Cálculos!H43/H$14,""),"-")</f>
        <v>0</v>
      </c>
      <c r="I29" s="22">
        <f>IF(I14&gt;0,IFERROR(TIKR_Cálculos!I43/I$14,""),"-")</f>
        <v>0</v>
      </c>
      <c r="J29" s="22">
        <f>IF(J14&gt;0,IFERROR(TIKR_Cálculos!J43/J$14,""),"-")</f>
        <v>0</v>
      </c>
      <c r="K29" s="22">
        <f>IF(K14&gt;0,IFERROR(TIKR_Cálculos!K43/K$14,""),"-")</f>
        <v>0</v>
      </c>
      <c r="L29" s="254">
        <f>IFERROR(AVERAGE(B29:K29),"")</f>
        <v>0</v>
      </c>
      <c r="M29" s="252"/>
      <c r="N29" s="6"/>
      <c r="O29" s="10"/>
      <c r="P29" s="10"/>
      <c r="Q29" s="101"/>
    </row>
    <row r="30" spans="1:17" ht="25" customHeight="1" x14ac:dyDescent="0.2">
      <c r="A30" s="18" t="s">
        <v>136</v>
      </c>
      <c r="B30" s="124">
        <f>IF(B14&gt;0,IFERROR(TIKR_Cálculos!B41/B$14,""),"-")</f>
        <v>0.2813102119460501</v>
      </c>
      <c r="C30" s="22">
        <f>IF(C14&gt;0,IFERROR(TIKR_Cálculos!C41/C$14,""),"-")</f>
        <v>0.34775936157151627</v>
      </c>
      <c r="D30" s="22">
        <f>IF(D14&gt;0,IFERROR(TIKR_Cálculos!D41/D$14,""),"-")</f>
        <v>0.55739910313901342</v>
      </c>
      <c r="E30" s="22">
        <f>IF(E14&gt;0,IFERROR(TIKR_Cálculos!E41/E$14,""),"-")</f>
        <v>0.42098609355246525</v>
      </c>
      <c r="F30" s="22">
        <f>IF(F14&gt;0,IFERROR(TIKR_Cálculos!F41/F$14,""),"-")</f>
        <v>0.58313253012048194</v>
      </c>
      <c r="G30" s="22">
        <f>IF(G14&gt;0,IFERROR(TIKR_Cálculos!G41/G$14,""),"-")</f>
        <v>0.29652425778421432</v>
      </c>
      <c r="H30" s="22">
        <f>IF(H14&gt;0,IFERROR(TIKR_Cálculos!H41/H$14,""),"-")</f>
        <v>0.38755274261603373</v>
      </c>
      <c r="I30" s="22">
        <f>IF(I14&gt;0,IFERROR(TIKR_Cálculos!I41/I$14,""),"-")</f>
        <v>0.41951626355296079</v>
      </c>
      <c r="J30" s="22">
        <f>IF(J14&gt;0,IFERROR(TIKR_Cálculos!J41/J$14,""),"-")</f>
        <v>0.33149931224209078</v>
      </c>
      <c r="K30" s="22">
        <f>IF(K14&gt;0,IFERROR(TIKR_Cálculos!K41/K$14,""),"-")</f>
        <v>0.59647302904564314</v>
      </c>
      <c r="L30" s="254">
        <f>IFERROR(AVERAGE(B30:K30),"")</f>
        <v>0.42221529055704698</v>
      </c>
      <c r="M30" s="252"/>
      <c r="N30" s="6"/>
    </row>
    <row r="31" spans="1:17" ht="25" customHeight="1" x14ac:dyDescent="0.2">
      <c r="A31" s="18" t="s">
        <v>135</v>
      </c>
      <c r="B31" s="124">
        <f>IF(B14&gt;0,IFERROR(TIKR_Cálculos!B42/B$14,""),"-")</f>
        <v>0.89733003027800717</v>
      </c>
      <c r="C31" s="22">
        <f>IF(C14&gt;0,IFERROR(TIKR_Cálculos!C42/C$14,""),"-")</f>
        <v>0.99815837937384899</v>
      </c>
      <c r="D31" s="22">
        <f>IF(D14&gt;0,IFERROR(TIKR_Cálculos!D42/D$14,""),"-")</f>
        <v>1.9076233183856501</v>
      </c>
      <c r="E31" s="22">
        <f>IF(E14&gt;0,IFERROR(TIKR_Cálculos!E42/E$14,""),"-")</f>
        <v>1.354614412136536</v>
      </c>
      <c r="F31" s="22">
        <f>IF(F14&gt;0,IFERROR(TIKR_Cálculos!F42/F$14,""),"-")</f>
        <v>1.2317269076305222</v>
      </c>
      <c r="G31" s="22">
        <f>IF(G14&gt;0,IFERROR(TIKR_Cálculos!G42/G$14,""),"-")</f>
        <v>0.11006517016654598</v>
      </c>
      <c r="H31" s="22">
        <f>IF(H14&gt;0,IFERROR(TIKR_Cálculos!H42/H$14,""),"-")</f>
        <v>0.84683544303797464</v>
      </c>
      <c r="I31" s="22">
        <f>IF(I14&gt;0,IFERROR(TIKR_Cálculos!I42/I$14,""),"-")</f>
        <v>1.1426188490408673</v>
      </c>
      <c r="J31" s="22">
        <f>IF(J14&gt;0,IFERROR(TIKR_Cálculos!J42/J$14,""),"-")</f>
        <v>0.64954913648173618</v>
      </c>
      <c r="K31" s="22">
        <f>IF(K14&gt;0,IFERROR(TIKR_Cálculos!K42/K$14,""),"-")</f>
        <v>0.77411825726141081</v>
      </c>
      <c r="L31" s="254">
        <f>IFERROR(AVERAGE(B31:K31),"")</f>
        <v>0.9912639903793099</v>
      </c>
      <c r="M31" s="252"/>
      <c r="N31" s="6"/>
    </row>
    <row r="32" spans="1:17" ht="25" customHeight="1" x14ac:dyDescent="0.2">
      <c r="A32" s="173" t="s">
        <v>195</v>
      </c>
      <c r="B32" s="142">
        <f>IF(B14&gt;0,IFERROR(IF(TIKR_Cálculos!B44&gt;0,TIKR_Cálculos!B44,0)/B14,""),"-")</f>
        <v>0</v>
      </c>
      <c r="C32" s="139">
        <f>IF(C14&gt;0,IFERROR(IF(TIKR_Cálculos!C44&gt;0,TIKR_Cálculos!C44,0)/C14,""),"-")</f>
        <v>0</v>
      </c>
      <c r="D32" s="139">
        <f>IF(D14&gt;0,IFERROR(IF(TIKR_Cálculos!D44&gt;0,TIKR_Cálculos!D44,0)/D14,""),"-")</f>
        <v>0</v>
      </c>
      <c r="E32" s="139">
        <f>IF(E14&gt;0,IFERROR(IF(TIKR_Cálculos!E44&gt;0,TIKR_Cálculos!E44,0)/E14,""),"-")</f>
        <v>0.10461441213653604</v>
      </c>
      <c r="F32" s="139">
        <f>IF(F14&gt;0,IFERROR(IF(TIKR_Cálculos!F44&gt;0,TIKR_Cálculos!F44,0)/F14,""),"-")</f>
        <v>0</v>
      </c>
      <c r="G32" s="139">
        <f>IF(G14&gt;0,IFERROR(IF(TIKR_Cálculos!G44&gt;0,TIKR_Cálculos!G44,0)/G14,""),"-")</f>
        <v>4.5076031860970311E-2</v>
      </c>
      <c r="H32" s="139">
        <f>IF(H14&gt;0,IFERROR(IF(TIKR_Cálculos!H44&gt;0,TIKR_Cálculos!H44,0)/H14,""),"-")</f>
        <v>0</v>
      </c>
      <c r="I32" s="139">
        <f>IF(I14&gt;0,IFERROR(IF(TIKR_Cálculos!I44&gt;0,TIKR_Cálculos!I44,0)/I14,""),"-")</f>
        <v>0.10508757297748124</v>
      </c>
      <c r="J32" s="139">
        <f>IF(J14&gt;0,IFERROR(IF(TIKR_Cálculos!J44&gt;0,TIKR_Cálculos!J44,0)/J14,""),"-")</f>
        <v>0</v>
      </c>
      <c r="K32" s="139">
        <f>IF(K14&gt;0,IFERROR(IF(TIKR_Cálculos!K44&gt;0,TIKR_Cálculos!K44,0)/K14,""),"-")</f>
        <v>0.25959543568464732</v>
      </c>
      <c r="L32" s="134">
        <f>IFERROR(AVERAGE(B32:K32),"")</f>
        <v>5.1437345265963483E-2</v>
      </c>
      <c r="M32" s="252"/>
      <c r="N32" s="4"/>
    </row>
    <row r="33" spans="1:17" ht="25" customHeight="1" x14ac:dyDescent="0.2">
      <c r="A33" s="172" t="s">
        <v>138</v>
      </c>
      <c r="B33" s="101">
        <f t="shared" ref="B33:K33" si="14">SUM(B28:B32)</f>
        <v>1.3118634737131847</v>
      </c>
      <c r="C33" s="101">
        <f t="shared" si="14"/>
        <v>1.4643953345610803</v>
      </c>
      <c r="D33" s="101">
        <f t="shared" si="14"/>
        <v>2.5910313901345292</v>
      </c>
      <c r="E33" s="101">
        <f t="shared" si="14"/>
        <v>2.0110619469026552</v>
      </c>
      <c r="F33" s="101">
        <f t="shared" si="14"/>
        <v>1.9614457831325303</v>
      </c>
      <c r="G33" s="101">
        <f t="shared" si="14"/>
        <v>0.45166545981173062</v>
      </c>
      <c r="H33" s="101">
        <f t="shared" si="14"/>
        <v>1.2430379746835443</v>
      </c>
      <c r="I33" s="101">
        <f t="shared" si="14"/>
        <v>1.7226855713094245</v>
      </c>
      <c r="J33" s="101">
        <f t="shared" si="14"/>
        <v>0.9834938101788171</v>
      </c>
      <c r="K33" s="101">
        <f t="shared" si="14"/>
        <v>1.6301867219917012</v>
      </c>
      <c r="L33" s="101">
        <f>SUM(L28:L32)</f>
        <v>1.5370867466419196</v>
      </c>
      <c r="M33" s="213"/>
    </row>
    <row r="35" spans="1:17" ht="40" customHeight="1" x14ac:dyDescent="0.2">
      <c r="L35" s="4"/>
      <c r="M35" s="4"/>
      <c r="N35" s="10"/>
      <c r="O35" s="10"/>
      <c r="P35" s="10"/>
      <c r="Q35" s="101"/>
    </row>
    <row r="36" spans="1:17" ht="25" customHeight="1" x14ac:dyDescent="0.2">
      <c r="L36" s="4"/>
      <c r="M36" s="4"/>
      <c r="N36" s="10"/>
      <c r="O36" s="10"/>
      <c r="P36" s="10"/>
      <c r="Q36" s="101"/>
    </row>
    <row r="37" spans="1:17" ht="25" customHeight="1" x14ac:dyDescent="0.2">
      <c r="L37" s="4"/>
      <c r="M37" s="4"/>
      <c r="N37" s="6"/>
      <c r="O37" s="10"/>
      <c r="P37" s="10"/>
      <c r="Q37" s="101"/>
    </row>
    <row r="38" spans="1:17" ht="25" customHeight="1" x14ac:dyDescent="0.2">
      <c r="L38" s="4"/>
      <c r="M38" s="4"/>
      <c r="N38" s="6"/>
      <c r="O38" s="10"/>
      <c r="P38" s="10"/>
      <c r="Q38" s="101"/>
    </row>
    <row r="39" spans="1:17" ht="25" customHeight="1" x14ac:dyDescent="0.2">
      <c r="L39" s="4"/>
      <c r="M39" s="4"/>
      <c r="N39" s="6"/>
    </row>
    <row r="40" spans="1:17" ht="25" customHeight="1" x14ac:dyDescent="0.2">
      <c r="L40" s="101"/>
      <c r="M40" s="101"/>
    </row>
    <row r="41" spans="1:17" ht="40" customHeight="1" x14ac:dyDescent="0.2">
      <c r="L41" s="4"/>
      <c r="M41" s="4"/>
      <c r="N41" s="10"/>
      <c r="O41" s="10"/>
      <c r="P41" s="10"/>
      <c r="Q41" s="101"/>
    </row>
    <row r="42" spans="1:17" ht="25" customHeight="1" x14ac:dyDescent="0.2">
      <c r="L42" s="213"/>
      <c r="M42" s="101"/>
      <c r="N42" s="6"/>
    </row>
    <row r="43" spans="1:17" ht="25" customHeight="1" x14ac:dyDescent="0.2">
      <c r="L43" s="213"/>
      <c r="M43" s="101"/>
      <c r="N43" s="6"/>
    </row>
    <row r="44" spans="1:17" ht="25" customHeight="1" x14ac:dyDescent="0.2"/>
    <row r="45" spans="1:17" ht="25" customHeight="1" x14ac:dyDescent="0.2"/>
    <row r="46" spans="1:17" ht="25" customHeight="1" x14ac:dyDescent="0.2"/>
    <row r="47" spans="1:17" ht="25" customHeight="1" x14ac:dyDescent="0.2"/>
    <row r="48" spans="1:17" ht="25" customHeight="1" x14ac:dyDescent="0.2"/>
    <row r="49" spans="12:13" ht="25" customHeight="1" x14ac:dyDescent="0.2"/>
    <row r="50" spans="12:13" ht="25" customHeight="1" x14ac:dyDescent="0.2"/>
    <row r="51" spans="12:13" ht="25" customHeight="1" x14ac:dyDescent="0.2"/>
    <row r="52" spans="12:13" ht="25" customHeight="1" x14ac:dyDescent="0.2"/>
    <row r="53" spans="12:13" ht="25" customHeight="1" x14ac:dyDescent="0.2"/>
    <row r="54" spans="12:13" ht="25" customHeight="1" x14ac:dyDescent="0.2"/>
    <row r="55" spans="12:13" ht="25" customHeight="1" x14ac:dyDescent="0.2"/>
    <row r="56" spans="12:13" ht="25" customHeight="1" x14ac:dyDescent="0.2"/>
    <row r="57" spans="12:13" ht="25" customHeight="1" x14ac:dyDescent="0.2"/>
    <row r="58" spans="12:13" ht="25" customHeight="1" x14ac:dyDescent="0.2"/>
    <row r="59" spans="12:13" ht="25" customHeight="1" x14ac:dyDescent="0.2"/>
    <row r="60" spans="12:13" ht="25" customHeight="1" x14ac:dyDescent="0.2"/>
    <row r="63" spans="12:13" ht="17" x14ac:dyDescent="0.2">
      <c r="L63" s="69"/>
      <c r="M63" s="69"/>
    </row>
    <row r="64" spans="12:13" ht="17" x14ac:dyDescent="0.2">
      <c r="L64" s="213"/>
      <c r="M64" s="213"/>
    </row>
    <row r="65" spans="12:13" ht="17" x14ac:dyDescent="0.2">
      <c r="L65" s="213"/>
      <c r="M65" s="213"/>
    </row>
    <row r="66" spans="12:13" ht="17" x14ac:dyDescent="0.2">
      <c r="L66" s="213"/>
      <c r="M66" s="213"/>
    </row>
    <row r="67" spans="12:13" ht="17" x14ac:dyDescent="0.2">
      <c r="L67" s="213"/>
      <c r="M67" s="213"/>
    </row>
    <row r="68" spans="12:13" ht="17" x14ac:dyDescent="0.2">
      <c r="L68" s="213"/>
      <c r="M68" s="213"/>
    </row>
  </sheetData>
  <mergeCells count="2">
    <mergeCell ref="R11:R13"/>
    <mergeCell ref="O1:P1"/>
  </mergeCells>
  <conditionalFormatting sqref="B28:K32">
    <cfRule type="cellIs" dxfId="9" priority="1" operator="greaterThan">
      <formula>1</formula>
    </cfRule>
  </conditionalFormatting>
  <conditionalFormatting sqref="B16:P16 B18:P18">
    <cfRule type="cellIs" dxfId="8" priority="2" operator="lessThan">
      <formula>0</formula>
    </cfRule>
  </conditionalFormatting>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48576"/>
  <sheetViews>
    <sheetView showGridLines="0" zoomScaleNormal="100" workbookViewId="0">
      <pane xSplit="1" ySplit="2" topLeftCell="B3" activePane="bottomRight" state="frozen"/>
      <selection pane="topRight" activeCell="B1" sqref="B1"/>
      <selection pane="bottomLeft" activeCell="A3" sqref="A3"/>
      <selection pane="bottomRight" activeCell="B4" sqref="B4:K10"/>
    </sheetView>
  </sheetViews>
  <sheetFormatPr baseColWidth="10" defaultColWidth="0" defaultRowHeight="16" x14ac:dyDescent="0.2"/>
  <cols>
    <col min="1" max="1" width="51.6640625" style="20" bestFit="1" customWidth="1"/>
    <col min="2" max="16" width="12.33203125" style="5" customWidth="1"/>
    <col min="17" max="18" width="14.6640625" style="5" customWidth="1"/>
    <col min="19" max="19" width="24.6640625" style="5" hidden="1" customWidth="1"/>
    <col min="20" max="20" width="15.5" style="5" hidden="1" customWidth="1"/>
    <col min="21" max="21" width="14.6640625" style="5" hidden="1" customWidth="1"/>
    <col min="22" max="22" width="16.5" style="5" hidden="1" customWidth="1"/>
    <col min="23" max="16384" width="9.1640625" style="4" hidden="1"/>
  </cols>
  <sheetData>
    <row r="1" spans="1:22" ht="50" customHeight="1" x14ac:dyDescent="0.2">
      <c r="A1" s="248" t="str">
        <f>IF('1.IS'!A1&lt;&gt;"",'1.IS'!A1,"")</f>
        <v/>
      </c>
      <c r="B1" s="17" t="s">
        <v>88</v>
      </c>
      <c r="O1" s="314" t="e" vm="1">
        <v>#VALUE!</v>
      </c>
      <c r="P1" s="314"/>
      <c r="V1" s="21"/>
    </row>
    <row r="2" spans="1:22" s="6" customFormat="1" ht="35" customHeight="1" x14ac:dyDescent="0.2">
      <c r="A2" s="103" t="s">
        <v>98</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c r="Q2" s="16"/>
      <c r="R2" s="16"/>
    </row>
    <row r="3" spans="1:22" s="6" customFormat="1" ht="25" customHeight="1" x14ac:dyDescent="0.2">
      <c r="A3" s="61" t="s">
        <v>14</v>
      </c>
      <c r="B3" s="122">
        <f>IFERROR('1.IS'!B9*(1-'1.IS'!B17),"")</f>
        <v>3635.3424046397499</v>
      </c>
      <c r="C3" s="88">
        <f>IFERROR('1.IS'!C9*(1-'1.IS'!C17),"")</f>
        <v>4094.8733475479744</v>
      </c>
      <c r="D3" s="88">
        <f>IFERROR('1.IS'!D9*(1-'1.IS'!D17),"")</f>
        <v>2023.5834661808246</v>
      </c>
      <c r="E3" s="88">
        <f>IFERROR('1.IS'!E9*(1-'1.IS'!E17),"")</f>
        <v>3991.9906838873594</v>
      </c>
      <c r="F3" s="88">
        <f>IFERROR('1.IS'!F9*(1-'1.IS'!F17),"")</f>
        <v>2756.7647058823527</v>
      </c>
      <c r="G3" s="88">
        <f>IFERROR('1.IS'!G9*(1-'1.IS'!G17),"")</f>
        <v>6261.8862103601659</v>
      </c>
      <c r="H3" s="88">
        <f>IFERROR('1.IS'!H9*(1-'1.IS'!H17),"")</f>
        <v>6050.8307573415768</v>
      </c>
      <c r="I3" s="88">
        <f>IFERROR('1.IS'!I9*(1-'1.IS'!I17),"")</f>
        <v>4785.146090187468</v>
      </c>
      <c r="J3" s="88">
        <f>IFERROR('1.IS'!J9*(1-'1.IS'!J17),"")</f>
        <v>5777.2827187274042</v>
      </c>
      <c r="K3" s="88">
        <f>IFERROR('1.IS'!K9*(1-'1.IS'!K17),"")</f>
        <v>3054.7088474665265</v>
      </c>
      <c r="L3" s="110">
        <f>IFERROR('1.IS'!L9*(1-'1.IS'!L17),"")</f>
        <v>4846.7835904856092</v>
      </c>
      <c r="M3" s="86">
        <f>IFERROR('1.IS'!M9*(1-'1.IS'!M17),"")</f>
        <v>5057.8583624467046</v>
      </c>
      <c r="N3" s="86">
        <f>IFERROR('1.IS'!N9*(1-'1.IS'!N17),"")</f>
        <v>5278.1253251723911</v>
      </c>
      <c r="O3" s="86">
        <f>IFERROR('1.IS'!O9*(1-'1.IS'!O17),"")</f>
        <v>5507.9847935381376</v>
      </c>
      <c r="P3" s="118">
        <f>IFERROR('1.IS'!P9*(1-'1.IS'!P17),"")</f>
        <v>5747.8545159130872</v>
      </c>
      <c r="Q3" s="86"/>
      <c r="R3" s="86"/>
      <c r="V3" s="11"/>
    </row>
    <row r="4" spans="1:22" s="6" customFormat="1" ht="25" customHeight="1" x14ac:dyDescent="0.2">
      <c r="A4" s="104" t="s">
        <v>117</v>
      </c>
      <c r="B4" s="108">
        <v>3138</v>
      </c>
      <c r="C4" s="85">
        <v>3808</v>
      </c>
      <c r="D4" s="85">
        <v>4249</v>
      </c>
      <c r="E4" s="85">
        <v>4466</v>
      </c>
      <c r="F4" s="85">
        <v>8348</v>
      </c>
      <c r="G4" s="85">
        <v>9889</v>
      </c>
      <c r="H4" s="85">
        <v>8574</v>
      </c>
      <c r="I4" s="85">
        <v>7441</v>
      </c>
      <c r="J4" s="85">
        <v>9860</v>
      </c>
      <c r="K4" s="85">
        <v>7464</v>
      </c>
      <c r="L4" s="110">
        <f>IFERROR(TIKR_Cálculos!C32,0)</f>
        <v>13851.719378677679</v>
      </c>
      <c r="M4" s="86">
        <f>IFERROR(TIKR_Cálculos!D32,0)</f>
        <v>14454.954174401362</v>
      </c>
      <c r="N4" s="86">
        <f>IFERROR(TIKR_Cálculos!E32,0)</f>
        <v>15084.459515233832</v>
      </c>
      <c r="O4" s="86">
        <f>IFERROR(TIKR_Cálculos!F32,0)</f>
        <v>15741.379469032585</v>
      </c>
      <c r="P4" s="118">
        <f>IFERROR(TIKR_Cálculos!G32,0)</f>
        <v>16426.907927183987</v>
      </c>
      <c r="Q4" s="86"/>
      <c r="R4" s="86"/>
      <c r="V4" s="11"/>
    </row>
    <row r="5" spans="1:22" s="6" customFormat="1" ht="25" customHeight="1" x14ac:dyDescent="0.2">
      <c r="A5" s="104" t="s">
        <v>15</v>
      </c>
      <c r="B5" s="108">
        <v>2326</v>
      </c>
      <c r="C5" s="85">
        <v>2371</v>
      </c>
      <c r="D5" s="85">
        <v>996</v>
      </c>
      <c r="E5" s="85">
        <v>197</v>
      </c>
      <c r="F5" s="85">
        <v>439</v>
      </c>
      <c r="G5" s="85">
        <v>3587</v>
      </c>
      <c r="H5" s="85">
        <v>4423</v>
      </c>
      <c r="I5" s="85">
        <v>3234</v>
      </c>
      <c r="J5" s="85">
        <v>1722</v>
      </c>
      <c r="K5" s="85">
        <v>1687</v>
      </c>
      <c r="L5" s="110">
        <f>IFERROR(TIKR_Cálculos!C33,0)</f>
        <v>3130.7409688945936</v>
      </c>
      <c r="M5" s="86">
        <f>IFERROR(TIKR_Cálculos!D33,0)</f>
        <v>3267.0830241445733</v>
      </c>
      <c r="N5" s="86">
        <f>IFERROR(TIKR_Cálculos!E33,0)</f>
        <v>3409.3627012593074</v>
      </c>
      <c r="O5" s="86">
        <f>IFERROR(TIKR_Cálculos!F33,0)</f>
        <v>3557.838580420414</v>
      </c>
      <c r="P5" s="118">
        <f>IFERROR(TIKR_Cálculos!G33,0)</f>
        <v>3712.7805028348589</v>
      </c>
      <c r="Q5" s="86"/>
      <c r="R5" s="86"/>
      <c r="V5" s="11"/>
    </row>
    <row r="6" spans="1:22" s="6" customFormat="1" ht="24.75" customHeight="1" x14ac:dyDescent="0.2">
      <c r="A6" s="104" t="s">
        <v>61</v>
      </c>
      <c r="B6" s="108">
        <v>90</v>
      </c>
      <c r="C6" s="85">
        <v>331</v>
      </c>
      <c r="D6" s="85">
        <v>342</v>
      </c>
      <c r="E6" s="85">
        <v>15</v>
      </c>
      <c r="F6" s="85">
        <v>251</v>
      </c>
      <c r="G6" s="85">
        <v>2</v>
      </c>
      <c r="H6" s="85">
        <v>510</v>
      </c>
      <c r="I6" s="85">
        <v>6</v>
      </c>
      <c r="J6" s="85">
        <v>1006</v>
      </c>
      <c r="K6" s="85">
        <v>5</v>
      </c>
      <c r="L6" s="110">
        <f>IFERROR(TIKR_Cálculos!C35,0)</f>
        <v>9.2790188763917989</v>
      </c>
      <c r="M6" s="86">
        <f>IFERROR(TIKR_Cálculos!D35,0)</f>
        <v>9.6831150685968375</v>
      </c>
      <c r="N6" s="86">
        <f>IFERROR(TIKR_Cálculos!E35,0)</f>
        <v>10.104809428747204</v>
      </c>
      <c r="O6" s="86">
        <f>IFERROR(TIKR_Cálculos!F35,0)</f>
        <v>10.544868347422682</v>
      </c>
      <c r="P6" s="118">
        <f>IFERROR(TIKR_Cálculos!G35,0)</f>
        <v>11.004091591093236</v>
      </c>
      <c r="Q6" s="86"/>
      <c r="R6" s="86"/>
      <c r="V6" s="11"/>
    </row>
    <row r="7" spans="1:22" s="6" customFormat="1" ht="25" customHeight="1" x14ac:dyDescent="0.2">
      <c r="A7" s="104" t="s">
        <v>62</v>
      </c>
      <c r="B7" s="108">
        <v>1993</v>
      </c>
      <c r="C7" s="85">
        <v>3471</v>
      </c>
      <c r="D7" s="85">
        <v>3468</v>
      </c>
      <c r="E7" s="85">
        <v>3464</v>
      </c>
      <c r="F7" s="85">
        <v>9406</v>
      </c>
      <c r="G7" s="85">
        <v>9413</v>
      </c>
      <c r="H7" s="85">
        <v>8920</v>
      </c>
      <c r="I7" s="85">
        <v>8927</v>
      </c>
      <c r="J7" s="85">
        <v>7934</v>
      </c>
      <c r="K7" s="85">
        <v>7964</v>
      </c>
      <c r="L7" s="110">
        <f>IFERROR(TIKR_Cálculos!C36,0)</f>
        <v>14779.621266316859</v>
      </c>
      <c r="M7" s="86">
        <f>IFERROR(TIKR_Cálculos!D36,0)</f>
        <v>15423.265681261044</v>
      </c>
      <c r="N7" s="86">
        <f>IFERROR(TIKR_Cálculos!E36,0)</f>
        <v>16094.940458108551</v>
      </c>
      <c r="O7" s="86">
        <f>IFERROR(TIKR_Cálculos!F36,0)</f>
        <v>16795.866303774848</v>
      </c>
      <c r="P7" s="118">
        <f>IFERROR(TIKR_Cálculos!G36,0)</f>
        <v>17527.317086293308</v>
      </c>
      <c r="Q7" s="86"/>
      <c r="R7" s="86"/>
      <c r="S7" s="86"/>
      <c r="T7" s="86"/>
      <c r="U7" s="86"/>
      <c r="V7" s="11"/>
    </row>
    <row r="8" spans="1:22" s="6" customFormat="1" ht="25" customHeight="1" x14ac:dyDescent="0.2">
      <c r="A8" s="104" t="s">
        <v>126</v>
      </c>
      <c r="B8" s="108">
        <v>0</v>
      </c>
      <c r="C8" s="85">
        <v>0</v>
      </c>
      <c r="D8" s="85">
        <v>0</v>
      </c>
      <c r="E8" s="85">
        <v>32</v>
      </c>
      <c r="F8" s="85">
        <v>445</v>
      </c>
      <c r="G8" s="85">
        <v>467</v>
      </c>
      <c r="H8" s="85">
        <v>420</v>
      </c>
      <c r="I8" s="85">
        <v>425</v>
      </c>
      <c r="J8" s="85">
        <v>477</v>
      </c>
      <c r="K8" s="85">
        <v>502</v>
      </c>
      <c r="L8" s="110">
        <f>IFERROR(K8*'1.IS'!L4+K8,"")</f>
        <v>523.86182517669499</v>
      </c>
      <c r="M8" s="86">
        <f>IFERROR(L8*'1.IS'!M4+L8,"")</f>
        <v>546.67572087143049</v>
      </c>
      <c r="N8" s="86">
        <f>IFERROR(M8*'1.IS'!N4+M8,"")</f>
        <v>570.48314923404985</v>
      </c>
      <c r="O8" s="86">
        <f>IFERROR(N8*'1.IS'!O4+N8,"")</f>
        <v>595.32737806832313</v>
      </c>
      <c r="P8" s="118">
        <f>IFERROR(O8*'1.IS'!P4+O8,"")</f>
        <v>621.25355946718742</v>
      </c>
      <c r="Q8" s="86"/>
      <c r="R8" s="86"/>
      <c r="S8" s="86"/>
      <c r="T8" s="86"/>
      <c r="U8" s="86"/>
      <c r="V8" s="11"/>
    </row>
    <row r="9" spans="1:22" s="6" customFormat="1" ht="25" customHeight="1" x14ac:dyDescent="0.2">
      <c r="A9" s="104" t="s">
        <v>127</v>
      </c>
      <c r="B9" s="108">
        <v>0</v>
      </c>
      <c r="C9" s="85">
        <v>0</v>
      </c>
      <c r="D9" s="85">
        <v>75</v>
      </c>
      <c r="E9" s="85">
        <v>342</v>
      </c>
      <c r="F9" s="85">
        <v>2913</v>
      </c>
      <c r="G9" s="85">
        <v>2931</v>
      </c>
      <c r="H9" s="85">
        <v>2777</v>
      </c>
      <c r="I9" s="85">
        <v>2786</v>
      </c>
      <c r="J9" s="85">
        <v>2566</v>
      </c>
      <c r="K9" s="85">
        <v>2550</v>
      </c>
      <c r="L9" s="110">
        <f>IFERROR(K9*'1.IS'!L4+K9,"")</f>
        <v>2661.0511039852036</v>
      </c>
      <c r="M9" s="86">
        <f>IFERROR(L9*'1.IS'!M4+L9,"")</f>
        <v>2776.9384227532823</v>
      </c>
      <c r="N9" s="86">
        <f>IFERROR(M9*'1.IS'!N4+M9,"")</f>
        <v>2897.8725708104125</v>
      </c>
      <c r="O9" s="86">
        <f>IFERROR(N9*'1.IS'!O4+N9,"")</f>
        <v>3024.0733348092108</v>
      </c>
      <c r="P9" s="118">
        <f>IFERROR(O9*'1.IS'!P4+O9,"")</f>
        <v>3155.7700729906924</v>
      </c>
      <c r="Q9" s="86"/>
      <c r="R9" s="86"/>
      <c r="S9" s="86"/>
      <c r="T9" s="86"/>
      <c r="U9" s="86"/>
      <c r="V9" s="11"/>
    </row>
    <row r="10" spans="1:22" s="6" customFormat="1" ht="25" customHeight="1" x14ac:dyDescent="0.2">
      <c r="A10" s="104" t="s">
        <v>12</v>
      </c>
      <c r="B10" s="108">
        <v>12258</v>
      </c>
      <c r="C10" s="85">
        <v>12407</v>
      </c>
      <c r="D10" s="85">
        <v>9812</v>
      </c>
      <c r="E10" s="85">
        <v>9040</v>
      </c>
      <c r="F10" s="85">
        <v>8055</v>
      </c>
      <c r="G10" s="85">
        <v>12767</v>
      </c>
      <c r="H10" s="85">
        <v>15281</v>
      </c>
      <c r="I10" s="85">
        <v>14004</v>
      </c>
      <c r="J10" s="85">
        <v>14430</v>
      </c>
      <c r="K10" s="85">
        <v>13213</v>
      </c>
      <c r="L10" s="110">
        <f>IFERROR(K10+'1.IS'!L20+'1.IS'!L26*'4.Valoración'!L3-AVERAGE('2.FCF'!$J$30:$K$30)*'2.FCF'!L14,"")</f>
        <v>14560.424739651084</v>
      </c>
      <c r="M10" s="86">
        <f>IFERROR(L10+'1.IS'!M20+'1.IS'!M26*'4.Valoración'!M3-AVERAGE('2.FCF'!$J$30:$K$30)*'2.FCF'!M14,"")</f>
        <v>16037.018552555759</v>
      </c>
      <c r="N10" s="86">
        <f>IFERROR(M10+'1.IS'!N20+'1.IS'!N26*'4.Valoración'!N3-AVERAGE('2.FCF'!$J$30:$K$30)*'2.FCF'!N14,"")</f>
        <v>17647.184999196521</v>
      </c>
      <c r="O10" s="86">
        <f>IFERROR(N10+'1.IS'!O20+'1.IS'!O26*'4.Valoración'!O3-AVERAGE('2.FCF'!$J$30:$K$30)*'2.FCF'!O14,"")</f>
        <v>19395.54058617738</v>
      </c>
      <c r="P10" s="118">
        <f>IFERROR(O10+'1.IS'!P20+'1.IS'!P26*'4.Valoración'!P3-AVERAGE('2.FCF'!$J$30:$K$30)*'2.FCF'!P14,"")</f>
        <v>21286.923672944675</v>
      </c>
      <c r="Q10" s="86"/>
      <c r="R10" s="86"/>
      <c r="S10" s="86"/>
      <c r="T10" s="86"/>
      <c r="U10" s="86"/>
      <c r="V10" s="11"/>
    </row>
    <row r="11" spans="1:22" s="6" customFormat="1" ht="25" customHeight="1" x14ac:dyDescent="0.2">
      <c r="A11" s="135" t="s">
        <v>104</v>
      </c>
      <c r="B11" s="141">
        <f t="shared" ref="B11" si="0">B10+B6+B7+B8+B9-B5</f>
        <v>12015</v>
      </c>
      <c r="C11" s="136">
        <f t="shared" ref="C11:K11" si="1">C10+C6+C7+C8+C9-C5</f>
        <v>13838</v>
      </c>
      <c r="D11" s="136">
        <f t="shared" si="1"/>
        <v>12701</v>
      </c>
      <c r="E11" s="136">
        <f t="shared" si="1"/>
        <v>12696</v>
      </c>
      <c r="F11" s="136">
        <f t="shared" si="1"/>
        <v>20631</v>
      </c>
      <c r="G11" s="136">
        <f t="shared" si="1"/>
        <v>21993</v>
      </c>
      <c r="H11" s="136">
        <f t="shared" si="1"/>
        <v>23485</v>
      </c>
      <c r="I11" s="136">
        <f t="shared" si="1"/>
        <v>22914</v>
      </c>
      <c r="J11" s="136">
        <f t="shared" si="1"/>
        <v>24691</v>
      </c>
      <c r="K11" s="136">
        <f t="shared" si="1"/>
        <v>22547</v>
      </c>
      <c r="L11" s="140">
        <f>IFERROR(L10+L6+L7+L8+L9-L5,"")</f>
        <v>29403.49698511164</v>
      </c>
      <c r="M11" s="137">
        <f>IFERROR(M10+M6+M7+M8+M9-M5,"")</f>
        <v>31526.498468365542</v>
      </c>
      <c r="N11" s="137">
        <f>IFERROR(N10+N6+N7+N8+N9-N5,"")</f>
        <v>33811.22328551898</v>
      </c>
      <c r="O11" s="137">
        <f>IFERROR(O10+O6+O7+O8+O9-O5,"")</f>
        <v>36263.513890756767</v>
      </c>
      <c r="P11" s="138">
        <f>IFERROR(P10+P6+P7+P8+P9-P5,"")</f>
        <v>38889.487980452097</v>
      </c>
      <c r="Q11" s="86"/>
      <c r="R11" s="86"/>
      <c r="S11" s="86"/>
      <c r="T11" s="86"/>
      <c r="U11" s="86"/>
      <c r="V11" s="11"/>
    </row>
    <row r="12" spans="1:22" ht="30" customHeight="1" x14ac:dyDescent="0.2">
      <c r="A12" s="4"/>
      <c r="V12" s="21"/>
    </row>
    <row r="13" spans="1:22" s="144" customFormat="1" ht="35" customHeight="1" x14ac:dyDescent="0.2">
      <c r="A13" s="58" t="s">
        <v>71</v>
      </c>
      <c r="B13" s="59">
        <f>'1.IS'!B$2</f>
        <v>2016</v>
      </c>
      <c r="C13" s="59">
        <f>'1.IS'!C$2</f>
        <v>2017</v>
      </c>
      <c r="D13" s="59">
        <f>'1.IS'!D$2</f>
        <v>2018</v>
      </c>
      <c r="E13" s="59">
        <f>'1.IS'!E$2</f>
        <v>2019</v>
      </c>
      <c r="F13" s="59">
        <f>'1.IS'!F$2</f>
        <v>2020</v>
      </c>
      <c r="G13" s="59">
        <f>'1.IS'!G$2</f>
        <v>2021</v>
      </c>
      <c r="H13" s="59">
        <f>'1.IS'!H$2</f>
        <v>2022</v>
      </c>
      <c r="I13" s="59">
        <f>'1.IS'!I$2</f>
        <v>2023</v>
      </c>
      <c r="J13" s="59">
        <f>'1.IS'!J$2</f>
        <v>2024</v>
      </c>
      <c r="K13" s="59">
        <f>'1.IS'!K$2</f>
        <v>2025</v>
      </c>
      <c r="L13" s="60" t="str">
        <f>'1.IS'!L$2</f>
        <v>2026e</v>
      </c>
      <c r="M13" s="60" t="str">
        <f>'1.IS'!M$2</f>
        <v>2027e</v>
      </c>
      <c r="N13" s="60" t="str">
        <f>'1.IS'!N$2</f>
        <v>2028e</v>
      </c>
      <c r="O13" s="60" t="str">
        <f>'1.IS'!O$2</f>
        <v>2029e</v>
      </c>
      <c r="P13" s="60" t="str">
        <f>'1.IS'!P$2</f>
        <v>2030e</v>
      </c>
      <c r="Q13" s="63" t="str">
        <f>"Promedio "&amp;CHAR(10)&amp;B$2&amp;" - "&amp;K$2</f>
        <v>Promedio 
2016 - 2025</v>
      </c>
    </row>
    <row r="14" spans="1:22" s="12" customFormat="1" ht="25" customHeight="1" x14ac:dyDescent="0.2">
      <c r="A14" s="184" t="s">
        <v>44</v>
      </c>
      <c r="B14" s="124">
        <f>IFERROR('1.IS'!B20/B10,"")</f>
        <v>0.29531734377549357</v>
      </c>
      <c r="C14" s="22">
        <f>IFERROR('1.IS'!C20/C10,"")</f>
        <v>0.32594503103086969</v>
      </c>
      <c r="D14" s="22">
        <f>IFERROR('1.IS'!D20/D10,"")</f>
        <v>0.20373012637586629</v>
      </c>
      <c r="E14" s="22">
        <f>IFERROR('1.IS'!E20/E10,"")</f>
        <v>0.43705752212389382</v>
      </c>
      <c r="F14" s="22">
        <f>IFERROR('1.IS'!F20/F10,"")</f>
        <v>0.33246430788330228</v>
      </c>
      <c r="G14" s="22">
        <f>IFERROR('1.IS'!G20/G10,"")</f>
        <v>0.47270306258322237</v>
      </c>
      <c r="H14" s="62">
        <f>IFERROR('1.IS'!H20/H10,"")</f>
        <v>0.38380996008114654</v>
      </c>
      <c r="I14" s="62">
        <f>IFERROR('1.IS'!I20/I10,"")</f>
        <v>0.34204512996286773</v>
      </c>
      <c r="J14" s="62">
        <f>IFERROR('1.IS'!J20/J10,"")</f>
        <v>0.40990990990990989</v>
      </c>
      <c r="K14" s="62">
        <f>IFERROR('1.IS'!K20/K10,"")</f>
        <v>0.23787179293120411</v>
      </c>
      <c r="L14" s="195">
        <f>IFERROR('1.IS'!L20/L10,"")</f>
        <v>0.32134672584642032</v>
      </c>
      <c r="M14" s="196">
        <f>IFERROR('1.IS'!M20/M10,"")</f>
        <v>0.30446496562187375</v>
      </c>
      <c r="N14" s="196">
        <f>IFERROR('1.IS'!N20/N10,"")</f>
        <v>0.28873441645818904</v>
      </c>
      <c r="O14" s="196">
        <f>IFERROR('1.IS'!O20/O10,"")</f>
        <v>0.27414803560549023</v>
      </c>
      <c r="P14" s="197">
        <f>IFERROR('1.IS'!P20/P10,"")</f>
        <v>0.26066766315042406</v>
      </c>
      <c r="Q14" s="133">
        <f>IFERROR(AVERAGE(B14:K14),"")</f>
        <v>0.34408541866577763</v>
      </c>
      <c r="R14" s="165"/>
      <c r="S14" s="165"/>
      <c r="T14" s="165"/>
      <c r="U14" s="165"/>
    </row>
    <row r="15" spans="1:22" s="12" customFormat="1" ht="25" customHeight="1" x14ac:dyDescent="0.2">
      <c r="A15" s="73" t="s">
        <v>105</v>
      </c>
      <c r="B15" s="124">
        <f t="shared" ref="B15:P15" si="2">IFERROR(B3/B11,"")</f>
        <v>0.30256699164708695</v>
      </c>
      <c r="C15" s="22">
        <f t="shared" si="2"/>
        <v>0.29591511400115439</v>
      </c>
      <c r="D15" s="22">
        <f t="shared" si="2"/>
        <v>0.15932473554687226</v>
      </c>
      <c r="E15" s="22">
        <f t="shared" si="2"/>
        <v>0.3144290078676244</v>
      </c>
      <c r="F15" s="22">
        <f t="shared" si="2"/>
        <v>0.1336224470884762</v>
      </c>
      <c r="G15" s="22">
        <f t="shared" si="2"/>
        <v>0.28472178467513143</v>
      </c>
      <c r="H15" s="62">
        <f t="shared" si="2"/>
        <v>0.25764661517315635</v>
      </c>
      <c r="I15" s="62">
        <f t="shared" ref="I15:K15" si="3">IFERROR(I3/I11,"")</f>
        <v>0.20883067514128778</v>
      </c>
      <c r="J15" s="62">
        <f t="shared" si="3"/>
        <v>0.23398334286693145</v>
      </c>
      <c r="K15" s="62">
        <f t="shared" si="3"/>
        <v>0.13548183117339455</v>
      </c>
      <c r="L15" s="106">
        <f t="shared" si="2"/>
        <v>0.1648369781641878</v>
      </c>
      <c r="M15" s="22">
        <f t="shared" si="2"/>
        <v>0.16043197336113565</v>
      </c>
      <c r="N15" s="22">
        <f t="shared" si="2"/>
        <v>0.15610571911584639</v>
      </c>
      <c r="O15" s="22">
        <f t="shared" si="2"/>
        <v>0.1518877847891644</v>
      </c>
      <c r="P15" s="130">
        <f t="shared" si="2"/>
        <v>0.14779969638073562</v>
      </c>
      <c r="Q15" s="133">
        <f>IFERROR(AVERAGE(B15:K15),"")</f>
        <v>0.23265225451811156</v>
      </c>
      <c r="R15" s="165"/>
      <c r="S15" s="165"/>
      <c r="T15" s="165"/>
      <c r="U15" s="165"/>
    </row>
    <row r="16" spans="1:22" s="12" customFormat="1" ht="25" customHeight="1" x14ac:dyDescent="0.2">
      <c r="A16" s="166" t="s">
        <v>128</v>
      </c>
      <c r="B16" s="142">
        <f>IF('2.FCF'!B14&gt;0,IFERROR(TIKR_Cálculos!B12/'2.FCF'!B14,""),0%)</f>
        <v>0.13322323148912743</v>
      </c>
      <c r="C16" s="139">
        <f>IF('2.FCF'!C14&gt;0,IFERROR(TIKR_Cálculos!C12/'2.FCF'!C14,""),0%)</f>
        <v>0.11847759361571517</v>
      </c>
      <c r="D16" s="139">
        <f>IF('2.FCF'!D14&gt;0,IFERROR(TIKR_Cálculos!D12/'2.FCF'!D14,""),0%)</f>
        <v>0.12600896860986546</v>
      </c>
      <c r="E16" s="139">
        <f>IF('2.FCF'!E14&gt;0,IFERROR(TIKR_Cálculos!E12/'2.FCF'!E14,""),0%)</f>
        <v>0.13084702907711757</v>
      </c>
      <c r="F16" s="139">
        <f>IF('2.FCF'!F14&gt;0,IFERROR(TIKR_Cálculos!F12/'2.FCF'!F14,""),0%)</f>
        <v>0.1465863453815261</v>
      </c>
      <c r="G16" s="139">
        <f>IF('2.FCF'!G14&gt;0,IFERROR(TIKR_Cálculos!G12/'2.FCF'!G14,""),0%)</f>
        <v>0</v>
      </c>
      <c r="H16" s="139">
        <f>IF('2.FCF'!H14&gt;0,IFERROR(TIKR_Cálculos!H12/'2.FCF'!H14,""),0%)</f>
        <v>8.6497890295358648E-3</v>
      </c>
      <c r="I16" s="139">
        <f>IF('2.FCF'!I14&gt;0,IFERROR(TIKR_Cálculos!I12/'2.FCF'!I14,""),0%)</f>
        <v>5.5462885738115093E-2</v>
      </c>
      <c r="J16" s="139">
        <f>IF('2.FCF'!J14&gt;0,IFERROR(TIKR_Cálculos!J12/'2.FCF'!J14,""),0%)</f>
        <v>2.4453614549900657E-3</v>
      </c>
      <c r="K16" s="139">
        <f>IF('2.FCF'!K14&gt;0,IFERROR(TIKR_Cálculos!K12/'2.FCF'!K14,""),0%)</f>
        <v>0</v>
      </c>
      <c r="L16" s="120" t="s">
        <v>196</v>
      </c>
      <c r="M16" s="139" t="s">
        <v>196</v>
      </c>
      <c r="N16" s="139" t="s">
        <v>196</v>
      </c>
      <c r="O16" s="139" t="s">
        <v>196</v>
      </c>
      <c r="P16" s="198" t="s">
        <v>196</v>
      </c>
      <c r="Q16" s="143">
        <f>IFERROR(AVERAGE(B16:K16),"")</f>
        <v>7.2170120439599278E-2</v>
      </c>
      <c r="R16" s="165"/>
      <c r="S16" s="165"/>
      <c r="T16" s="165"/>
      <c r="U16" s="165"/>
    </row>
    <row r="17" spans="1:16" ht="37.5" customHeight="1" x14ac:dyDescent="0.2">
      <c r="A17" s="4"/>
      <c r="B17" s="168"/>
      <c r="C17" s="168"/>
      <c r="D17" s="168"/>
      <c r="E17" s="168"/>
      <c r="F17" s="169"/>
      <c r="G17" s="169"/>
      <c r="H17" s="168"/>
      <c r="I17" s="168"/>
      <c r="J17" s="168"/>
      <c r="K17" s="168"/>
    </row>
    <row r="18" spans="1:16" x14ac:dyDescent="0.2">
      <c r="K18" s="167"/>
      <c r="L18" s="167"/>
      <c r="P18" s="167"/>
    </row>
    <row r="19" spans="1:16" x14ac:dyDescent="0.2">
      <c r="L19" s="167"/>
      <c r="M19" s="167"/>
      <c r="N19" s="167"/>
      <c r="O19" s="167"/>
      <c r="P19" s="167"/>
    </row>
    <row r="1048576" hidden="1" x14ac:dyDescent="0.2"/>
  </sheetData>
  <mergeCells count="1">
    <mergeCell ref="O1:P1"/>
  </mergeCells>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5"/>
  <sheetViews>
    <sheetView showGridLines="0" zoomScale="85" zoomScaleNormal="85" workbookViewId="0">
      <selection activeCell="M45" sqref="M45"/>
    </sheetView>
  </sheetViews>
  <sheetFormatPr baseColWidth="10" defaultColWidth="0" defaultRowHeight="15" zeroHeight="1" x14ac:dyDescent="0.2"/>
  <cols>
    <col min="1" max="1" width="46.5" style="19" customWidth="1"/>
    <col min="2" max="16" width="12.33203125" style="3" customWidth="1"/>
    <col min="17" max="17" width="38" customWidth="1"/>
    <col min="18" max="25" width="0" hidden="1" customWidth="1"/>
    <col min="26" max="16384" width="9.1640625" hidden="1"/>
  </cols>
  <sheetData>
    <row r="1" spans="1:17" ht="50" customHeight="1" x14ac:dyDescent="0.2">
      <c r="A1" s="248" t="str">
        <f>IF('1.IS'!A1&lt;&gt;"",'1.IS'!A1,"")</f>
        <v/>
      </c>
      <c r="B1" s="17" t="s">
        <v>79</v>
      </c>
      <c r="O1" s="314" t="e" vm="1">
        <v>#VALUE!</v>
      </c>
      <c r="P1" s="314"/>
    </row>
    <row r="2" spans="1:17" s="6" customFormat="1" ht="35" customHeight="1" x14ac:dyDescent="0.2">
      <c r="A2" s="103" t="s">
        <v>123</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row>
    <row r="3" spans="1:17" s="6" customFormat="1" ht="25" customHeight="1" x14ac:dyDescent="0.2">
      <c r="A3" s="61" t="s">
        <v>10</v>
      </c>
      <c r="B3" s="199"/>
      <c r="C3" s="200"/>
      <c r="D3" s="200"/>
      <c r="E3" s="200"/>
      <c r="F3" s="200"/>
      <c r="G3" s="200"/>
      <c r="H3" s="201"/>
      <c r="I3" s="202"/>
      <c r="J3" s="202"/>
      <c r="K3" s="202">
        <f>$D$12*'1.IS'!K25</f>
        <v>67983.320000000007</v>
      </c>
      <c r="L3" s="203">
        <f>IFERROR($D$12*'1.IS'!L25,"")</f>
        <v>66805.073062637341</v>
      </c>
      <c r="M3" s="204">
        <f>IFERROR($D$12*'1.IS'!M25,"")</f>
        <v>65647.2468085453</v>
      </c>
      <c r="N3" s="204">
        <f>IFERROR($D$12*'1.IS'!N25,"")</f>
        <v>64509.487318445979</v>
      </c>
      <c r="O3" s="204">
        <f>IFERROR($D$12*'1.IS'!O25,"")</f>
        <v>63391.446806982378</v>
      </c>
      <c r="P3" s="205">
        <f>IFERROR($D$12*'1.IS'!P25,"")</f>
        <v>62292.783516408832</v>
      </c>
    </row>
    <row r="4" spans="1:17" s="6" customFormat="1" ht="25" customHeight="1" thickBot="1" x14ac:dyDescent="0.25">
      <c r="A4" s="61" t="s">
        <v>129</v>
      </c>
      <c r="B4" s="122">
        <f>('3.ROIC'!B7+'3.ROIC'!B6)-('3.ROIC'!B4+'3.ROIC'!B5)</f>
        <v>-3381</v>
      </c>
      <c r="C4" s="88">
        <f>('3.ROIC'!C7+'3.ROIC'!C6)-('3.ROIC'!C4+'3.ROIC'!C5)</f>
        <v>-2377</v>
      </c>
      <c r="D4" s="88">
        <f>('3.ROIC'!D7+'3.ROIC'!D6)-('3.ROIC'!D4+'3.ROIC'!D5)</f>
        <v>-1435</v>
      </c>
      <c r="E4" s="88">
        <f>('3.ROIC'!E7+'3.ROIC'!E6)-('3.ROIC'!E4+'3.ROIC'!E5)</f>
        <v>-1184</v>
      </c>
      <c r="F4" s="88">
        <f>('3.ROIC'!F7+'3.ROIC'!F6)-('3.ROIC'!F4+'3.ROIC'!F5)</f>
        <v>870</v>
      </c>
      <c r="G4" s="88">
        <f>('3.ROIC'!G7+'3.ROIC'!G6)-('3.ROIC'!G4+'3.ROIC'!G5)</f>
        <v>-4061</v>
      </c>
      <c r="H4" s="88">
        <f>('3.ROIC'!H7+'3.ROIC'!H6)-('3.ROIC'!H4+'3.ROIC'!H5)</f>
        <v>-3567</v>
      </c>
      <c r="I4" s="88">
        <f>('3.ROIC'!I7+'3.ROIC'!I6)-('3.ROIC'!I4+'3.ROIC'!I5)</f>
        <v>-1742</v>
      </c>
      <c r="J4" s="88">
        <f>('3.ROIC'!J7+'3.ROIC'!J6)-('3.ROIC'!J4+'3.ROIC'!J5)</f>
        <v>-2642</v>
      </c>
      <c r="K4" s="86">
        <f>('3.ROIC'!K7+'3.ROIC'!K6)-('3.ROIC'!K4+'3.ROIC'!K5)</f>
        <v>-1182</v>
      </c>
      <c r="L4" s="110">
        <f>IFERROR(L5*'1.IS'!L5,"")</f>
        <v>-2193.5600623790215</v>
      </c>
      <c r="M4" s="86">
        <f>IFERROR(M5*'1.IS'!M5,"")</f>
        <v>-2289.0884022162927</v>
      </c>
      <c r="N4" s="86">
        <f>IFERROR(N5*'1.IS'!N5,"")</f>
        <v>-2388.7769489558395</v>
      </c>
      <c r="O4" s="86">
        <f>IFERROR(O5*'1.IS'!O5,"")</f>
        <v>-2492.8068773307223</v>
      </c>
      <c r="P4" s="118">
        <f>IFERROR(P5*'1.IS'!P5,"")</f>
        <v>-2601.3672521344415</v>
      </c>
    </row>
    <row r="5" spans="1:17" s="6" customFormat="1" ht="25" customHeight="1" thickTop="1" thickBot="1" x14ac:dyDescent="0.25">
      <c r="A5" s="18" t="s">
        <v>116</v>
      </c>
      <c r="B5" s="148">
        <f>IFERROR('4.Valoración'!B4/'1.IS'!B5,"")</f>
        <v>-0.65472501936483352</v>
      </c>
      <c r="C5" s="98">
        <f>IFERROR('4.Valoración'!C4/'1.IS'!C5,"")</f>
        <v>-0.43494967978042087</v>
      </c>
      <c r="D5" s="98">
        <f>IFERROR('4.Valoración'!D4/'1.IS'!D5,"")</f>
        <v>-0.27495688829277637</v>
      </c>
      <c r="E5" s="98">
        <f>IFERROR('4.Valoración'!E4/'1.IS'!E5,"")</f>
        <v>-0.21558630735615442</v>
      </c>
      <c r="F5" s="98">
        <f>IFERROR('4.Valoración'!F4/'1.IS'!F5,"")</f>
        <v>0.20547945205479451</v>
      </c>
      <c r="G5" s="98">
        <f>IFERROR('4.Valoración'!G4/'1.IS'!G5,"")</f>
        <v>-0.50585450921773789</v>
      </c>
      <c r="H5" s="98">
        <f>IFERROR('4.Valoración'!H4/'1.IS'!H5,"")</f>
        <v>-0.47465069860279441</v>
      </c>
      <c r="I5" s="98">
        <f>IFERROR('4.Valoración'!I4/'1.IS'!I5,"")</f>
        <v>-0.26322151707464492</v>
      </c>
      <c r="J5" s="98">
        <f>IFERROR('4.Valoración'!J4/'1.IS'!J5,"")</f>
        <v>-0.34993377483443711</v>
      </c>
      <c r="K5" s="102">
        <f>IFERROR('4.Valoración'!K4/'1.IS'!K5,"")</f>
        <v>-0.2640160821979004</v>
      </c>
      <c r="L5" s="189">
        <f>AVERAGE(B5:K5)</f>
        <v>-0.32324150246669053</v>
      </c>
      <c r="M5" s="190">
        <f>L5</f>
        <v>-0.32324150246669053</v>
      </c>
      <c r="N5" s="190">
        <f t="shared" ref="N5:P5" si="0">M5</f>
        <v>-0.32324150246669053</v>
      </c>
      <c r="O5" s="190">
        <f t="shared" si="0"/>
        <v>-0.32324150246669053</v>
      </c>
      <c r="P5" s="191">
        <f t="shared" si="0"/>
        <v>-0.32324150246669053</v>
      </c>
      <c r="Q5" s="277" t="s">
        <v>158</v>
      </c>
    </row>
    <row r="6" spans="1:17" s="6" customFormat="1" ht="25" customHeight="1" thickTop="1" x14ac:dyDescent="0.2">
      <c r="A6" s="147" t="s">
        <v>23</v>
      </c>
      <c r="B6" s="141"/>
      <c r="C6" s="136"/>
      <c r="D6" s="136"/>
      <c r="E6" s="136"/>
      <c r="F6" s="136"/>
      <c r="G6" s="136"/>
      <c r="H6" s="136"/>
      <c r="I6" s="136"/>
      <c r="J6" s="136"/>
      <c r="K6" s="136">
        <f>K3+K4</f>
        <v>66801.320000000007</v>
      </c>
      <c r="L6" s="141">
        <f>IFERROR((L3+L4),"")</f>
        <v>64611.513000258317</v>
      </c>
      <c r="M6" s="136">
        <f>IFERROR((M3+M4),"")</f>
        <v>63358.158406329007</v>
      </c>
      <c r="N6" s="136">
        <f>IFERROR((N3+N4),"")</f>
        <v>62120.710369490138</v>
      </c>
      <c r="O6" s="136">
        <f>IFERROR((O3+O4),"")</f>
        <v>60898.639929651654</v>
      </c>
      <c r="P6" s="149">
        <f>IFERROR((P3+P4),"")</f>
        <v>59691.41626427439</v>
      </c>
    </row>
    <row r="7" spans="1:17" s="6" customFormat="1" ht="25" hidden="1" customHeight="1" x14ac:dyDescent="0.2">
      <c r="A7" s="18" t="s">
        <v>2</v>
      </c>
      <c r="B7" s="88">
        <f>'1.IS'!B5</f>
        <v>5164</v>
      </c>
      <c r="C7" s="88">
        <f>'1.IS'!C5</f>
        <v>5465</v>
      </c>
      <c r="D7" s="88">
        <f>'1.IS'!D5</f>
        <v>5219</v>
      </c>
      <c r="E7" s="88">
        <f>'1.IS'!E5</f>
        <v>5492</v>
      </c>
      <c r="F7" s="88">
        <f>'1.IS'!F5</f>
        <v>4234</v>
      </c>
      <c r="G7" s="88">
        <f>'1.IS'!G5</f>
        <v>8028</v>
      </c>
      <c r="H7" s="86">
        <f>'1.IS'!H5</f>
        <v>7515</v>
      </c>
      <c r="I7" s="86">
        <f>'1.IS'!I5</f>
        <v>6618</v>
      </c>
      <c r="J7" s="86">
        <f>'1.IS'!J5</f>
        <v>7550</v>
      </c>
      <c r="K7" s="86">
        <f>'1.IS'!K5</f>
        <v>4477</v>
      </c>
      <c r="L7" s="94">
        <f>'1.IS'!L5</f>
        <v>6786.1337286200242</v>
      </c>
      <c r="M7" s="88">
        <f>'1.IS'!M5</f>
        <v>7081.6661373864863</v>
      </c>
      <c r="N7" s="88">
        <f>'1.IS'!N5</f>
        <v>7390.0688207635058</v>
      </c>
      <c r="O7" s="88">
        <f>'1.IS'!O5</f>
        <v>7711.9022721644533</v>
      </c>
      <c r="P7" s="88">
        <f>'1.IS'!P5</f>
        <v>8047.7513941840061</v>
      </c>
      <c r="Q7" s="24"/>
    </row>
    <row r="8" spans="1:17" s="6" customFormat="1" ht="25" hidden="1" customHeight="1" x14ac:dyDescent="0.2">
      <c r="A8" s="18" t="s">
        <v>4</v>
      </c>
      <c r="B8" s="88">
        <f>'1.IS'!B9</f>
        <v>4502</v>
      </c>
      <c r="C8" s="88">
        <f>'1.IS'!C9</f>
        <v>4749</v>
      </c>
      <c r="D8" s="88">
        <f>'1.IS'!D9</f>
        <v>4445</v>
      </c>
      <c r="E8" s="88">
        <f>'1.IS'!E9</f>
        <v>4772</v>
      </c>
      <c r="F8" s="88">
        <f>'1.IS'!F9</f>
        <v>3115</v>
      </c>
      <c r="G8" s="88">
        <f>'1.IS'!G9</f>
        <v>7231</v>
      </c>
      <c r="H8" s="86">
        <f>'1.IS'!H9</f>
        <v>6675</v>
      </c>
      <c r="I8" s="86">
        <f>'1.IS'!I9</f>
        <v>5915</v>
      </c>
      <c r="J8" s="86">
        <f>'1.IS'!J9</f>
        <v>6754</v>
      </c>
      <c r="K8" s="86">
        <f>'1.IS'!K9</f>
        <v>3702</v>
      </c>
      <c r="L8" s="94">
        <f>'1.IS'!L9</f>
        <v>5977.3829028990313</v>
      </c>
      <c r="M8" s="88">
        <f>'1.IS'!M9</f>
        <v>6237.6946559614689</v>
      </c>
      <c r="N8" s="88">
        <f>'1.IS'!N9</f>
        <v>6509.3428433603412</v>
      </c>
      <c r="O8" s="88">
        <f>'1.IS'!O9</f>
        <v>6792.8211606047917</v>
      </c>
      <c r="P8" s="88">
        <f>'1.IS'!P9</f>
        <v>7088.6448033731094</v>
      </c>
      <c r="Q8" s="24"/>
    </row>
    <row r="9" spans="1:17" s="6" customFormat="1" ht="25" hidden="1" customHeight="1" x14ac:dyDescent="0.2">
      <c r="A9" s="18" t="s">
        <v>5</v>
      </c>
      <c r="B9" s="88">
        <f>'1.IS'!B20</f>
        <v>3620</v>
      </c>
      <c r="C9" s="88">
        <f>'1.IS'!C20</f>
        <v>4044</v>
      </c>
      <c r="D9" s="88">
        <f>'1.IS'!D20</f>
        <v>1999</v>
      </c>
      <c r="E9" s="88">
        <f>'1.IS'!E20</f>
        <v>3951</v>
      </c>
      <c r="F9" s="88">
        <f>'1.IS'!F20</f>
        <v>2678</v>
      </c>
      <c r="G9" s="88">
        <f>'1.IS'!G20</f>
        <v>6035</v>
      </c>
      <c r="H9" s="86">
        <f>'1.IS'!H20</f>
        <v>5865</v>
      </c>
      <c r="I9" s="86">
        <f>'1.IS'!I20</f>
        <v>4790</v>
      </c>
      <c r="J9" s="86">
        <f>'1.IS'!J20</f>
        <v>5915</v>
      </c>
      <c r="K9" s="86">
        <f>'1.IS'!K20</f>
        <v>3143</v>
      </c>
      <c r="L9" s="94">
        <f>'1.IS'!L20</f>
        <v>4678.9448170200931</v>
      </c>
      <c r="M9" s="88">
        <f>'1.IS'!M20</f>
        <v>4882.7103022812407</v>
      </c>
      <c r="N9" s="88">
        <f>'1.IS'!N20</f>
        <v>5095.3496628727144</v>
      </c>
      <c r="O9" s="88">
        <f>'1.IS'!O20</f>
        <v>5317.2493512070869</v>
      </c>
      <c r="P9" s="88">
        <f>'1.IS'!P20</f>
        <v>5548.8126494879298</v>
      </c>
      <c r="Q9" s="24"/>
    </row>
    <row r="10" spans="1:17" s="6" customFormat="1" ht="25" hidden="1" customHeight="1" x14ac:dyDescent="0.2">
      <c r="A10" s="23" t="s">
        <v>6</v>
      </c>
      <c r="B10" s="95">
        <f>'2.FCF'!B14</f>
        <v>3633</v>
      </c>
      <c r="C10" s="95">
        <f>'2.FCF'!C14</f>
        <v>3258</v>
      </c>
      <c r="D10" s="95">
        <f>'2.FCF'!D14</f>
        <v>2230</v>
      </c>
      <c r="E10" s="95">
        <f>'2.FCF'!E14</f>
        <v>3164</v>
      </c>
      <c r="F10" s="95">
        <f>'2.FCF'!F14</f>
        <v>2490</v>
      </c>
      <c r="G10" s="95">
        <f>'2.FCF'!G14</f>
        <v>5524</v>
      </c>
      <c r="H10" s="95">
        <f>'2.FCF'!H14</f>
        <v>4740</v>
      </c>
      <c r="I10" s="95">
        <f>'2.FCF'!I14</f>
        <v>4796</v>
      </c>
      <c r="J10" s="95">
        <f>'2.FCF'!J14</f>
        <v>6543</v>
      </c>
      <c r="K10" s="95">
        <f>'2.FCF'!K14</f>
        <v>3856</v>
      </c>
      <c r="L10" s="96">
        <f>'2.FCF'!L14</f>
        <v>4684.8245935014829</v>
      </c>
      <c r="M10" s="95">
        <f>'2.FCF'!M14</f>
        <v>4888.8461398094714</v>
      </c>
      <c r="N10" s="95">
        <f>'2.FCF'!N14</f>
        <v>5101.7527127661951</v>
      </c>
      <c r="O10" s="95">
        <f>'2.FCF'!O14</f>
        <v>5323.9312504180343</v>
      </c>
      <c r="P10" s="95">
        <f>'2.FCF'!P14</f>
        <v>5555.7855417514647</v>
      </c>
      <c r="Q10" s="24"/>
    </row>
    <row r="11" spans="1:17" s="6" customFormat="1" ht="15" customHeight="1" thickBot="1" x14ac:dyDescent="0.25">
      <c r="A11" s="67"/>
      <c r="B11" s="90"/>
      <c r="C11" s="90"/>
      <c r="D11" s="90"/>
      <c r="E11" s="90"/>
      <c r="F11" s="90"/>
      <c r="G11" s="90"/>
      <c r="H11" s="90"/>
      <c r="I11" s="90"/>
      <c r="J11" s="90"/>
      <c r="K11" s="90"/>
      <c r="L11" s="90"/>
      <c r="M11" s="90"/>
      <c r="N11" s="90"/>
      <c r="O11" s="90"/>
      <c r="P11" s="90"/>
      <c r="Q11" s="24"/>
    </row>
    <row r="12" spans="1:17" s="6" customFormat="1" ht="25" customHeight="1" thickTop="1" thickBot="1" x14ac:dyDescent="0.25">
      <c r="A12" s="310" t="s">
        <v>19</v>
      </c>
      <c r="B12" s="311"/>
      <c r="C12" s="312"/>
      <c r="D12" s="185">
        <v>45.7</v>
      </c>
      <c r="E12" s="90"/>
      <c r="L12" s="268"/>
      <c r="N12" s="90"/>
      <c r="O12" s="90"/>
      <c r="P12" s="90"/>
      <c r="Q12" s="24"/>
    </row>
    <row r="13" spans="1:17" s="6" customFormat="1" ht="15" customHeight="1" thickTop="1" x14ac:dyDescent="0.2">
      <c r="A13" s="67"/>
      <c r="B13" s="26"/>
      <c r="C13" s="26"/>
      <c r="D13" s="90"/>
      <c r="E13" s="90"/>
      <c r="F13" s="90"/>
      <c r="G13" s="90"/>
      <c r="H13" s="90"/>
      <c r="I13" s="90"/>
      <c r="J13" s="90"/>
      <c r="K13" s="90"/>
      <c r="L13" s="90"/>
      <c r="M13" s="90"/>
      <c r="N13" s="26"/>
      <c r="O13" s="26"/>
      <c r="P13" s="26"/>
    </row>
    <row r="14" spans="1:17" s="6" customFormat="1" ht="35" customHeight="1" thickBot="1" x14ac:dyDescent="0.25">
      <c r="A14" s="146" t="s">
        <v>89</v>
      </c>
      <c r="B14" s="145" t="s">
        <v>72</v>
      </c>
      <c r="C14" s="145" t="s">
        <v>75</v>
      </c>
      <c r="D14" s="97" t="s">
        <v>73</v>
      </c>
      <c r="E14" s="69"/>
      <c r="G14" s="7"/>
      <c r="H14" s="7"/>
      <c r="I14" s="7"/>
      <c r="J14" s="7"/>
      <c r="K14" s="7"/>
      <c r="L14" s="7"/>
      <c r="M14" s="7"/>
      <c r="N14" s="7"/>
      <c r="O14" s="7"/>
      <c r="P14" s="7"/>
    </row>
    <row r="15" spans="1:17" s="6" customFormat="1" ht="25" customHeight="1" thickTop="1" x14ac:dyDescent="0.2">
      <c r="A15" s="151" t="s">
        <v>20</v>
      </c>
      <c r="B15" s="152">
        <f>IF(D12&lt;&gt;"",IFERROR(D12/'1.IS'!K23,""),"")</f>
        <v>21.630073178491887</v>
      </c>
      <c r="C15" s="152">
        <f>IF(D12&lt;&gt;"",IFERROR(D12/'1.IS'!L23,""),"")</f>
        <v>14.277807427783232</v>
      </c>
      <c r="D15" s="273">
        <f>C15</f>
        <v>14.277807427783232</v>
      </c>
      <c r="E15" s="70"/>
      <c r="G15" s="7"/>
      <c r="H15" s="7"/>
      <c r="I15" s="7"/>
      <c r="J15" s="7"/>
      <c r="K15" s="7"/>
      <c r="L15" s="7"/>
      <c r="M15" s="7"/>
      <c r="N15" s="7"/>
      <c r="O15" s="7"/>
      <c r="P15" s="7"/>
    </row>
    <row r="16" spans="1:17" s="6" customFormat="1" ht="25" customHeight="1" x14ac:dyDescent="0.2">
      <c r="A16" s="115" t="s">
        <v>99</v>
      </c>
      <c r="B16" s="247">
        <f>IF(D12&lt;&gt;"",IFERROR(K6/K10,""),"")</f>
        <v>17.323993775933612</v>
      </c>
      <c r="C16" s="247">
        <f>IF(D12&lt;&gt;"",IFERROR(L6/L10,""),"")</f>
        <v>13.791661077318382</v>
      </c>
      <c r="D16" s="271">
        <f>D15</f>
        <v>14.277807427783232</v>
      </c>
      <c r="E16" s="71"/>
      <c r="G16" s="315" t="s">
        <v>158</v>
      </c>
      <c r="H16" s="315"/>
      <c r="I16" s="315"/>
      <c r="J16" s="7"/>
      <c r="K16" s="7"/>
      <c r="L16" s="7"/>
      <c r="M16" s="7"/>
      <c r="N16" s="7"/>
      <c r="O16" s="7"/>
      <c r="P16" s="7"/>
    </row>
    <row r="17" spans="1:17" s="6" customFormat="1" ht="25" customHeight="1" x14ac:dyDescent="0.2">
      <c r="A17" s="61" t="s">
        <v>100</v>
      </c>
      <c r="B17" s="153">
        <f>IF(D12&lt;&gt;"",IFERROR(K6/K7,""),"")</f>
        <v>14.921000670091582</v>
      </c>
      <c r="C17" s="72">
        <f>IF(D12&lt;&gt;"",IFERROR(L6/L7,""),"")</f>
        <v>9.521108127852532</v>
      </c>
      <c r="D17" s="271">
        <f>C17</f>
        <v>9.521108127852532</v>
      </c>
      <c r="E17" s="70"/>
      <c r="G17" s="315"/>
      <c r="H17" s="315"/>
      <c r="I17" s="315"/>
      <c r="J17" s="7"/>
      <c r="K17" s="7"/>
      <c r="L17" s="7"/>
      <c r="M17" s="7"/>
      <c r="N17" s="7"/>
      <c r="O17" s="7"/>
      <c r="P17" s="7"/>
    </row>
    <row r="18" spans="1:17" s="6" customFormat="1" ht="25" customHeight="1" thickBot="1" x14ac:dyDescent="0.25">
      <c r="A18" s="23" t="s">
        <v>101</v>
      </c>
      <c r="B18" s="159">
        <f>IF(D12&lt;&gt;"",IFERROR(K6/K8,""),"")</f>
        <v>18.044656942193409</v>
      </c>
      <c r="C18" s="160">
        <f>IF(D12&lt;&gt;"",IFERROR(L6/L8,""),"")</f>
        <v>10.809331449876121</v>
      </c>
      <c r="D18" s="272">
        <f>C18</f>
        <v>10.809331449876121</v>
      </c>
      <c r="E18" s="70"/>
      <c r="G18" s="7"/>
      <c r="H18" s="7"/>
      <c r="I18" s="7"/>
      <c r="J18" s="7"/>
      <c r="K18" s="7"/>
      <c r="L18" s="7"/>
      <c r="M18" s="7"/>
      <c r="N18" s="7"/>
      <c r="O18" s="7"/>
      <c r="P18" s="7"/>
      <c r="Q18" s="24"/>
    </row>
    <row r="19" spans="1:17" s="6" customFormat="1" ht="19" thickTop="1" thickBot="1" x14ac:dyDescent="0.25">
      <c r="A19" s="67"/>
      <c r="B19" s="153"/>
      <c r="C19" s="72"/>
      <c r="D19" s="274"/>
      <c r="E19" s="70"/>
      <c r="G19" s="7"/>
      <c r="H19" s="7"/>
      <c r="I19" s="7"/>
      <c r="J19" s="7"/>
      <c r="K19" s="7"/>
      <c r="L19" s="7"/>
      <c r="M19" s="7"/>
      <c r="N19" s="7"/>
      <c r="O19" s="7"/>
      <c r="P19" s="7"/>
      <c r="Q19" s="24"/>
    </row>
    <row r="20" spans="1:17" s="6" customFormat="1" ht="35" customHeight="1" thickTop="1" x14ac:dyDescent="0.2">
      <c r="A20" s="146" t="s">
        <v>74</v>
      </c>
      <c r="B20" s="145" t="str">
        <f>L2</f>
        <v>2026e</v>
      </c>
      <c r="C20" s="145" t="str">
        <f>M2</f>
        <v>2027e</v>
      </c>
      <c r="D20" s="145" t="str">
        <f>N2</f>
        <v>2028e</v>
      </c>
      <c r="E20" s="145" t="str">
        <f>O2</f>
        <v>2029e</v>
      </c>
      <c r="F20" s="206" t="str">
        <f>P2</f>
        <v>2030e</v>
      </c>
      <c r="H20" s="313" t="str">
        <f>"Retorno Anualizado"&amp;CHAR(10)&amp;"valorando por..."</f>
        <v>Retorno Anualizado
valorando por...</v>
      </c>
      <c r="I20" s="313"/>
      <c r="J20" s="313"/>
      <c r="K20" s="145" t="str">
        <f>"CAGR"&amp;CHAR(10)&amp;"5 años"</f>
        <v>CAGR
5 años</v>
      </c>
      <c r="O20" s="7"/>
      <c r="P20" s="7"/>
    </row>
    <row r="21" spans="1:17" s="6" customFormat="1" ht="25" customHeight="1" thickBot="1" x14ac:dyDescent="0.25">
      <c r="A21" s="67" t="s">
        <v>63</v>
      </c>
      <c r="B21" s="14">
        <f>IF(D12&lt;&gt;"",IFERROR(IF(--L4&lt;0,(L9*$D$15-L4),IF(--L4&gt;0,L9*$D$15))/'1.IS'!L25,""),"")</f>
        <v>47.200570095278984</v>
      </c>
      <c r="C21" s="14">
        <f>IF(D12&lt;&gt;"",IFERROR(IF(--M4&lt;0,(M9*$D$15-M4),IF(--M4&gt;0,M9*$D$15))/'1.IS'!M25,""),"")</f>
        <v>50.12486375470062</v>
      </c>
      <c r="D21" s="14">
        <f>IF(D12&lt;&gt;"",IFERROR(IF(--N4&lt;0,(N9*$D$15-N4),IF(--N4&gt;0,N9*$D$15))/'1.IS'!N25,""),"")</f>
        <v>53.230330933621531</v>
      </c>
      <c r="E21" s="14">
        <f>IF(D12&lt;&gt;"",IFERROR(IF(--O4&lt;0,(O9*$D$15-O4),IF(--O4&gt;0,O9*$D$15))/'1.IS'!O25,""),"")</f>
        <v>56.528196169653377</v>
      </c>
      <c r="F21" s="207">
        <f>IF(D12&lt;&gt;"",IFERROR(IF(--P4&lt;0,(P9*$D$15-P4),IF(--P4&gt;0,P9*$D$15))/'1.IS'!P25,""),"")</f>
        <v>60.030379412435721</v>
      </c>
      <c r="H21" s="67" t="s">
        <v>63</v>
      </c>
      <c r="I21" s="67"/>
      <c r="J21" s="67"/>
      <c r="K21" s="150">
        <f>IFERROR((F21/$D$12)^(1/5)-1,"")</f>
        <v>5.606579788353816E-2</v>
      </c>
      <c r="O21" s="7"/>
      <c r="P21" s="7"/>
    </row>
    <row r="22" spans="1:17" s="6" customFormat="1" ht="25" customHeight="1" thickBot="1" x14ac:dyDescent="0.25">
      <c r="A22" s="154" t="s">
        <v>102</v>
      </c>
      <c r="B22" s="155">
        <f>IF(D12&lt;&gt;"",IFERROR(((L10*$D$16)-L4)/'1.IS'!L25,""),"")</f>
        <v>47.257998809595527</v>
      </c>
      <c r="C22" s="155">
        <f>IF(D12&lt;&gt;"",IFERROR(((M10*$D$16)-M4)/'1.IS'!M25,""),"")</f>
        <v>50.185850443524799</v>
      </c>
      <c r="D22" s="155">
        <f>IF(D12&lt;&gt;"",IFERROR(((N10*$D$16)-N4)/'1.IS'!N25,""),"")</f>
        <v>53.295096029932701</v>
      </c>
      <c r="E22" s="155">
        <f>IF(D12&lt;&gt;"",IFERROR(((O10*$D$16)-O4)/'1.IS'!O25,""),"")</f>
        <v>56.596973763273617</v>
      </c>
      <c r="F22" s="208">
        <f>IF(D12&lt;&gt;"",IFERROR(((P10*$D$16)-P4)/'1.IS'!P25,""),"")</f>
        <v>60.103418096134504</v>
      </c>
      <c r="H22" s="154" t="s">
        <v>99</v>
      </c>
      <c r="I22" s="156"/>
      <c r="J22" s="156"/>
      <c r="K22" s="157">
        <f>IFERROR((F22/$D$12)^(1/5)-1,"")</f>
        <v>5.6322654977056796E-2</v>
      </c>
      <c r="O22" s="7"/>
      <c r="P22" s="7"/>
    </row>
    <row r="23" spans="1:17" s="6" customFormat="1" ht="25" customHeight="1" x14ac:dyDescent="0.2">
      <c r="A23" s="18" t="s">
        <v>100</v>
      </c>
      <c r="B23" s="14">
        <f>IF(D12&lt;&gt;"",IFERROR(((L7*$D$17)-L4)/'1.IS'!L25,""),"")</f>
        <v>45.699999999999996</v>
      </c>
      <c r="C23" s="14">
        <f>IF(D12&lt;&gt;"",IFERROR(((M7*$D$17)-M4)/'1.IS'!M25,""),"")</f>
        <v>48.531326400630398</v>
      </c>
      <c r="D23" s="14">
        <f>IF(D12&lt;&gt;"",IFERROR(((N7*$D$17)-N4)/'1.IS'!N25,""),"")</f>
        <v>51.53806656902681</v>
      </c>
      <c r="E23" s="14">
        <f>IF(D12&lt;&gt;"",IFERROR(((O7*$D$17)-O4)/'1.IS'!O25,""),"")</f>
        <v>54.731088199537346</v>
      </c>
      <c r="F23" s="207">
        <f>IF(D12&lt;&gt;"",IFERROR(((P7*$D$17)-P4)/'1.IS'!P25,""),"")</f>
        <v>58.121932290447219</v>
      </c>
      <c r="H23" s="18" t="s">
        <v>100</v>
      </c>
      <c r="I23" s="18"/>
      <c r="J23" s="18"/>
      <c r="K23" s="150">
        <f>IFERROR((F23/$D$12)^(1/5)-1,"")</f>
        <v>4.9263990930857648E-2</v>
      </c>
      <c r="O23" s="7"/>
      <c r="P23" s="7"/>
    </row>
    <row r="24" spans="1:17" s="6" customFormat="1" ht="25" customHeight="1" x14ac:dyDescent="0.2">
      <c r="A24" s="67" t="s">
        <v>101</v>
      </c>
      <c r="B24" s="68">
        <f>IF(D12&lt;&gt;"",IFERROR(((L8*$D$18)-L4)/'1.IS'!L25,""),"")</f>
        <v>45.699999999999996</v>
      </c>
      <c r="C24" s="68">
        <f>IF(D12&lt;&gt;"",IFERROR(((M8*$D$18)-M4)/'1.IS'!M25,""),"")</f>
        <v>48.531326400630391</v>
      </c>
      <c r="D24" s="68">
        <f>IF(D12&lt;&gt;"",IFERROR(((N8*$D$18)-N4)/'1.IS'!N25,""),"")</f>
        <v>51.538066569026803</v>
      </c>
      <c r="E24" s="68">
        <f>IF(D12&lt;&gt;"",IFERROR(((O8*$D$18)-O4)/'1.IS'!O25,""),"")</f>
        <v>54.731088199537346</v>
      </c>
      <c r="F24" s="207">
        <f>IF(D12&lt;&gt;"",IFERROR(((P8*$D$18)-P4)/'1.IS'!P25,""),"")</f>
        <v>58.121932290447205</v>
      </c>
      <c r="H24" s="67" t="s">
        <v>101</v>
      </c>
      <c r="I24" s="67"/>
      <c r="J24" s="67"/>
      <c r="K24" s="150">
        <f>IFERROR((F24/$D$12)^(1/5)-1,"")</f>
        <v>4.9263990930857648E-2</v>
      </c>
      <c r="O24" s="7"/>
      <c r="P24" s="7"/>
    </row>
    <row r="25" spans="1:17" s="6" customFormat="1" ht="25" customHeight="1" x14ac:dyDescent="0.2">
      <c r="A25" s="174" t="s">
        <v>58</v>
      </c>
      <c r="B25" s="175">
        <f>IFERROR(AVERAGE(B21:B24),"")</f>
        <v>46.464642226218622</v>
      </c>
      <c r="C25" s="175">
        <f>IFERROR(AVERAGE(C21:C24),"")</f>
        <v>49.343341749871556</v>
      </c>
      <c r="D25" s="175">
        <f>IFERROR(AVERAGE(D21:D24),"")</f>
        <v>52.400390025401961</v>
      </c>
      <c r="E25" s="175">
        <f>IFERROR(AVERAGE(E21:E24),"")</f>
        <v>55.646836583000422</v>
      </c>
      <c r="F25" s="209">
        <f>IFERROR(AVERAGE(F21:F24),"")</f>
        <v>59.094415522366162</v>
      </c>
      <c r="H25" s="161" t="s">
        <v>58</v>
      </c>
      <c r="I25" s="161"/>
      <c r="J25" s="161"/>
      <c r="K25" s="162">
        <f>IFERROR(AVERAGE(K21:K24),"")</f>
        <v>5.2729108680577563E-2</v>
      </c>
      <c r="O25" s="7"/>
      <c r="P25" s="7"/>
    </row>
    <row r="26" spans="1:17" s="6" customFormat="1" ht="25" customHeight="1" thickBot="1" x14ac:dyDescent="0.25">
      <c r="A26" s="161" t="s">
        <v>215</v>
      </c>
      <c r="B26" s="176">
        <f>IFERROR((B22/$D$12)-1,"")</f>
        <v>3.4091877671674542E-2</v>
      </c>
      <c r="C26" s="176">
        <f t="shared" ref="C26:F26" si="1">IFERROR((C22/$D$12)-1,"")</f>
        <v>9.8158653031177101E-2</v>
      </c>
      <c r="D26" s="176">
        <f t="shared" si="1"/>
        <v>0.1661946614864922</v>
      </c>
      <c r="E26" s="176">
        <f t="shared" si="1"/>
        <v>0.23844581538891929</v>
      </c>
      <c r="F26" s="210">
        <f t="shared" si="1"/>
        <v>0.31517326249747257</v>
      </c>
      <c r="G26" s="7"/>
      <c r="H26" s="7"/>
      <c r="I26" s="7"/>
      <c r="J26" s="7"/>
      <c r="K26" s="7"/>
      <c r="L26" s="7"/>
      <c r="M26" s="7"/>
      <c r="N26" s="7"/>
      <c r="O26" s="7"/>
      <c r="P26" s="7"/>
    </row>
    <row r="27" spans="1:17" s="6" customFormat="1" ht="16" hidden="1" x14ac:dyDescent="0.2">
      <c r="H27" s="7"/>
      <c r="I27" s="7"/>
      <c r="J27" s="7"/>
      <c r="K27" s="7"/>
      <c r="L27" s="7"/>
      <c r="M27" s="7"/>
      <c r="N27" s="7"/>
      <c r="O27" s="7"/>
      <c r="P27" s="7"/>
    </row>
    <row r="28" spans="1:17" s="6" customFormat="1" ht="25" hidden="1" customHeight="1" x14ac:dyDescent="0.2">
      <c r="H28" s="7"/>
      <c r="I28" s="7"/>
      <c r="J28" s="7"/>
      <c r="K28" s="7"/>
      <c r="L28" s="7"/>
      <c r="M28" s="7"/>
      <c r="N28" s="7"/>
      <c r="O28" s="7"/>
      <c r="P28" s="7"/>
    </row>
    <row r="29" spans="1:17" s="6" customFormat="1" ht="25" hidden="1" customHeight="1" x14ac:dyDescent="0.2">
      <c r="H29" s="7"/>
      <c r="I29" s="7"/>
      <c r="J29" s="7"/>
      <c r="K29" s="7"/>
      <c r="L29" s="7"/>
      <c r="M29" s="7"/>
      <c r="N29" s="7"/>
      <c r="O29" s="7"/>
      <c r="P29" s="7"/>
    </row>
    <row r="30" spans="1:17" s="6" customFormat="1" ht="25" hidden="1" customHeight="1" x14ac:dyDescent="0.2">
      <c r="H30" s="7"/>
      <c r="I30" s="7"/>
      <c r="J30" s="7"/>
      <c r="K30" s="7"/>
      <c r="L30" s="7"/>
      <c r="M30" s="7"/>
      <c r="N30" s="7"/>
      <c r="O30" s="7"/>
      <c r="P30" s="7"/>
    </row>
    <row r="31" spans="1:17" s="6" customFormat="1" ht="25" hidden="1" customHeight="1" x14ac:dyDescent="0.2">
      <c r="H31" s="7"/>
      <c r="I31" s="7"/>
      <c r="J31" s="7"/>
      <c r="K31" s="7"/>
      <c r="L31" s="7"/>
      <c r="M31" s="7"/>
      <c r="N31" s="7"/>
      <c r="O31" s="7"/>
      <c r="P31" s="7"/>
    </row>
    <row r="32" spans="1:17" s="6" customFormat="1" ht="16" hidden="1" x14ac:dyDescent="0.2">
      <c r="H32" s="7"/>
      <c r="I32" s="7"/>
      <c r="J32" s="7"/>
      <c r="K32" s="7"/>
      <c r="L32" s="7"/>
      <c r="M32" s="7"/>
      <c r="N32" s="7"/>
      <c r="O32" s="7"/>
      <c r="P32" s="7"/>
    </row>
    <row r="33" spans="1:16" s="6" customFormat="1" ht="16" hidden="1" x14ac:dyDescent="0.2">
      <c r="A33" s="25"/>
      <c r="B33" s="7"/>
      <c r="C33" s="7"/>
      <c r="D33" s="7"/>
      <c r="E33" s="7"/>
      <c r="F33" s="7"/>
      <c r="G33" s="7"/>
      <c r="H33" s="7"/>
      <c r="I33" s="7"/>
      <c r="J33" s="7"/>
      <c r="K33" s="7"/>
      <c r="L33" s="7"/>
      <c r="M33" s="7"/>
      <c r="N33" s="7"/>
      <c r="O33" s="7"/>
      <c r="P33" s="7"/>
    </row>
    <row r="34" spans="1:16" s="6" customFormat="1" ht="16" hidden="1" x14ac:dyDescent="0.2">
      <c r="A34" s="25"/>
      <c r="B34" s="7"/>
      <c r="C34" s="7"/>
      <c r="D34" s="7"/>
      <c r="E34" s="7"/>
      <c r="F34" s="7"/>
      <c r="G34" s="7"/>
      <c r="H34" s="7"/>
      <c r="I34" s="7"/>
      <c r="J34" s="7"/>
      <c r="K34" s="7"/>
      <c r="L34" s="7"/>
      <c r="M34" s="7"/>
      <c r="N34" s="7"/>
      <c r="O34" s="7"/>
      <c r="P34" s="7"/>
    </row>
    <row r="35" spans="1:16" s="6" customFormat="1" ht="16" hidden="1" x14ac:dyDescent="0.2">
      <c r="A35" s="25"/>
      <c r="B35" s="7"/>
      <c r="C35" s="7"/>
      <c r="D35" s="7"/>
      <c r="E35" s="7"/>
      <c r="F35" s="7"/>
      <c r="G35" s="7"/>
      <c r="H35" s="7"/>
      <c r="I35" s="7"/>
      <c r="J35" s="7"/>
      <c r="K35" s="7"/>
      <c r="L35" s="7"/>
      <c r="M35" s="7"/>
      <c r="N35" s="7"/>
      <c r="O35" s="7"/>
      <c r="P35" s="7"/>
    </row>
    <row r="36" spans="1:16" s="6" customFormat="1" ht="16" hidden="1" x14ac:dyDescent="0.2">
      <c r="C36" s="7"/>
      <c r="D36" s="7"/>
      <c r="E36" s="7"/>
      <c r="F36" s="7"/>
      <c r="G36" s="7"/>
      <c r="H36" s="7"/>
      <c r="I36" s="7"/>
      <c r="J36" s="7"/>
      <c r="K36" s="7"/>
      <c r="L36" s="7"/>
      <c r="M36" s="7"/>
      <c r="N36" s="7"/>
      <c r="O36" s="7"/>
      <c r="P36" s="7"/>
    </row>
    <row r="37" spans="1:16" s="6" customFormat="1" ht="16" hidden="1" x14ac:dyDescent="0.2">
      <c r="C37" s="7"/>
      <c r="D37" s="7"/>
      <c r="E37" s="7"/>
      <c r="F37" s="7"/>
      <c r="G37" s="7"/>
      <c r="H37" s="7"/>
      <c r="I37" s="7"/>
      <c r="J37" s="7"/>
      <c r="K37" s="7"/>
      <c r="L37" s="7"/>
      <c r="M37" s="7"/>
      <c r="N37" s="7"/>
      <c r="O37" s="7"/>
      <c r="P37" s="7"/>
    </row>
    <row r="38" spans="1:16" s="6" customFormat="1" ht="16" hidden="1" x14ac:dyDescent="0.2">
      <c r="C38" s="7"/>
      <c r="D38" s="7"/>
      <c r="E38" s="7"/>
      <c r="F38" s="7"/>
      <c r="G38" s="7"/>
      <c r="H38" s="7"/>
      <c r="I38" s="7"/>
      <c r="J38" s="7"/>
      <c r="K38" s="7"/>
      <c r="L38" s="7"/>
      <c r="M38" s="7"/>
      <c r="N38" s="7"/>
      <c r="O38" s="7"/>
      <c r="P38" s="7"/>
    </row>
    <row r="39" spans="1:16" s="6" customFormat="1" ht="16" hidden="1" x14ac:dyDescent="0.2">
      <c r="C39" s="7"/>
      <c r="D39" s="7"/>
      <c r="E39" s="7"/>
      <c r="F39" s="7"/>
      <c r="G39" s="7"/>
      <c r="H39" s="7"/>
      <c r="I39" s="7"/>
      <c r="J39" s="7"/>
      <c r="K39" s="7"/>
      <c r="L39" s="7"/>
      <c r="M39" s="7"/>
      <c r="N39" s="7"/>
      <c r="O39" s="7"/>
      <c r="P39" s="7"/>
    </row>
    <row r="40" spans="1:16" s="6" customFormat="1" ht="16" hidden="1" x14ac:dyDescent="0.2">
      <c r="C40" s="7"/>
      <c r="D40" s="7"/>
      <c r="E40" s="7"/>
      <c r="F40" s="7"/>
      <c r="G40" s="7"/>
      <c r="H40" s="7"/>
      <c r="I40" s="7"/>
      <c r="J40" s="7"/>
      <c r="K40" s="7"/>
      <c r="L40" s="7"/>
      <c r="M40" s="7"/>
      <c r="N40" s="7"/>
      <c r="O40" s="7"/>
      <c r="P40" s="7"/>
    </row>
    <row r="41" spans="1:16" s="4" customFormat="1" ht="16" hidden="1" x14ac:dyDescent="0.2">
      <c r="A41" s="20"/>
      <c r="B41" s="5"/>
      <c r="C41" s="5"/>
      <c r="D41" s="5"/>
      <c r="E41" s="5"/>
      <c r="F41" s="5"/>
      <c r="G41" s="5"/>
      <c r="H41" s="5"/>
      <c r="I41" s="5"/>
      <c r="J41" s="5"/>
      <c r="K41" s="5"/>
      <c r="L41" s="5"/>
      <c r="M41" s="5"/>
      <c r="N41" s="5"/>
      <c r="O41" s="5"/>
      <c r="P41" s="5"/>
    </row>
    <row r="42" spans="1:16" s="4" customFormat="1" ht="15" customHeight="1" thickTop="1" x14ac:dyDescent="0.2">
      <c r="A42" s="20"/>
      <c r="B42" s="5"/>
      <c r="C42" s="5"/>
      <c r="D42" s="5"/>
      <c r="E42" s="5"/>
      <c r="F42" s="5"/>
      <c r="G42" s="5"/>
      <c r="H42" s="5"/>
      <c r="I42" s="5"/>
      <c r="J42" s="5"/>
      <c r="K42" s="5"/>
      <c r="L42" s="5"/>
      <c r="M42" s="5"/>
      <c r="N42" s="5"/>
      <c r="O42" s="5"/>
      <c r="P42" s="5"/>
    </row>
    <row r="43" spans="1:16" s="4" customFormat="1" ht="53.25" customHeight="1" thickBot="1" x14ac:dyDescent="0.25">
      <c r="A43" s="67"/>
      <c r="B43" s="6"/>
      <c r="C43" s="145" t="s">
        <v>217</v>
      </c>
      <c r="D43" s="307" t="s">
        <v>216</v>
      </c>
      <c r="E43" s="307"/>
      <c r="G43" s="5"/>
      <c r="H43" s="5"/>
      <c r="I43" s="5"/>
      <c r="J43" s="5"/>
      <c r="K43" s="5"/>
      <c r="L43" s="5"/>
      <c r="M43" s="5"/>
      <c r="N43" s="5"/>
      <c r="O43" s="5"/>
      <c r="P43" s="5"/>
    </row>
    <row r="44" spans="1:16" ht="25" customHeight="1" thickTop="1" thickBot="1" x14ac:dyDescent="0.25">
      <c r="A44" s="276" t="s">
        <v>218</v>
      </c>
      <c r="B44" s="270">
        <v>0.15</v>
      </c>
      <c r="C44" s="275">
        <f>IFERROR(F22/((1+B44)^5),"")</f>
        <v>29.882021189304311</v>
      </c>
      <c r="D44" s="308">
        <f>IFERROR((C44-D12)/D12,"")</f>
        <v>-0.34612645099990569</v>
      </c>
      <c r="E44" s="309"/>
      <c r="G44" s="158"/>
    </row>
    <row r="45" spans="1:16" ht="16" thickTop="1" x14ac:dyDescent="0.2"/>
  </sheetData>
  <mergeCells count="6">
    <mergeCell ref="D43:E43"/>
    <mergeCell ref="D44:E44"/>
    <mergeCell ref="A12:C12"/>
    <mergeCell ref="H20:J20"/>
    <mergeCell ref="O1:P1"/>
    <mergeCell ref="G16:I17"/>
  </mergeCells>
  <conditionalFormatting sqref="D44:E44">
    <cfRule type="cellIs" dxfId="7" priority="1" operator="greaterThan">
      <formula>0</formula>
    </cfRule>
    <cfRule type="cellIs" dxfId="6" priority="2" operator="lessThan">
      <formula>0</formula>
    </cfRule>
  </conditionalFormatting>
  <conditionalFormatting sqref="K21:K25">
    <cfRule type="cellIs" dxfId="5" priority="3" operator="greaterThan">
      <formula>0.15</formula>
    </cfRule>
    <cfRule type="cellIs" dxfId="4" priority="4" operator="between">
      <formula>0</formula>
      <formula>0.15</formula>
    </cfRule>
    <cfRule type="cellIs" dxfId="3" priority="5" operator="between">
      <formula>-1</formula>
      <formula>0</formula>
    </cfRule>
  </conditionalFormatting>
  <pageMargins left="0.7" right="0.7" top="0.75" bottom="0.75" header="0.3" footer="0.3"/>
  <pageSetup paperSize="9" orientation="portrait" horizontalDpi="1200" verticalDpi="1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dimension ref="A1:T36"/>
  <sheetViews>
    <sheetView showGridLines="0" zoomScale="85" zoomScaleNormal="85" workbookViewId="0"/>
  </sheetViews>
  <sheetFormatPr baseColWidth="10" defaultColWidth="9.1640625" defaultRowHeight="16" x14ac:dyDescent="0.2"/>
  <cols>
    <col min="1" max="1" width="56.83203125" style="4" customWidth="1"/>
    <col min="2" max="16" width="14.6640625" style="5" customWidth="1"/>
    <col min="17" max="17" width="17" style="5" customWidth="1"/>
    <col min="18" max="18" width="19" style="4" customWidth="1"/>
    <col min="19" max="20" width="15.5" style="4" customWidth="1"/>
    <col min="21" max="16384" width="9.1640625" style="4"/>
  </cols>
  <sheetData>
    <row r="1" spans="1:17" ht="100" customHeight="1" x14ac:dyDescent="0.2">
      <c r="A1" s="7" t="str">
        <f>IF('1.IS'!A1&lt;&gt;"",'1.IS'!A1,"")</f>
        <v/>
      </c>
      <c r="B1" s="17" t="s">
        <v>179</v>
      </c>
      <c r="G1"/>
    </row>
    <row r="2" spans="1:17" ht="40" customHeight="1" x14ac:dyDescent="0.2">
      <c r="A2" s="103" t="s">
        <v>169</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4"/>
      <c r="M2" s="4"/>
      <c r="N2" s="10"/>
      <c r="O2" s="10"/>
      <c r="P2" s="10"/>
      <c r="Q2" s="101"/>
    </row>
    <row r="3" spans="1:17" ht="25" customHeight="1" x14ac:dyDescent="0.2">
      <c r="A3" s="238" t="s">
        <v>175</v>
      </c>
      <c r="B3" s="212"/>
      <c r="C3" s="196"/>
      <c r="D3" s="196"/>
      <c r="E3" s="196"/>
      <c r="F3" s="196"/>
      <c r="G3" s="196"/>
      <c r="H3" s="196"/>
      <c r="I3" s="196"/>
      <c r="J3" s="196"/>
      <c r="K3" s="197"/>
      <c r="L3" s="4"/>
      <c r="M3" s="4"/>
      <c r="N3" s="10"/>
      <c r="O3" s="10"/>
      <c r="P3" s="10"/>
      <c r="Q3" s="101"/>
    </row>
    <row r="4" spans="1:17" ht="25" customHeight="1" x14ac:dyDescent="0.2">
      <c r="A4" s="232" t="s">
        <v>163</v>
      </c>
      <c r="B4" s="124">
        <f>IFERROR(ABS(VLOOKUP("Asset Writedown*",'7.TIKR_IS'!$A:$K,COLUMN('2.FCF'!B7),FALSE)/'1.IS'!B3),0%)+IFERROR(ABS(VLOOKUP("Impairment of Goodwill*",'7.TIKR_IS'!$A:$K,COLUMN('2.FCF'!B7),FALSE)/'1.IS'!B3),0%)</f>
        <v>0</v>
      </c>
      <c r="C4" s="22">
        <f>IFERROR(ABS(VLOOKUP("Asset Writedown*",'7.TIKR_IS'!$A:$K,COLUMN('2.FCF'!C7),FALSE)/'1.IS'!C3),0%)+IFERROR(ABS(VLOOKUP("Impairment of Goodwill*",'7.TIKR_IS'!$A:$K,COLUMN('2.FCF'!C7),FALSE)/'1.IS'!C3),0%)</f>
        <v>0</v>
      </c>
      <c r="D4" s="22">
        <f>IFERROR(ABS(VLOOKUP("Asset Writedown*",'7.TIKR_IS'!$A:$K,COLUMN('2.FCF'!D7),FALSE)/'1.IS'!D3),0%)+IFERROR(ABS(VLOOKUP("Impairment of Goodwill*",'7.TIKR_IS'!$A:$K,COLUMN('2.FCF'!D7),FALSE)/'1.IS'!D3),0%)</f>
        <v>0</v>
      </c>
      <c r="E4" s="22">
        <f>IFERROR(ABS(VLOOKUP("Asset Writedown*",'7.TIKR_IS'!$A:$K,COLUMN('2.FCF'!E7),FALSE)/'1.IS'!E3),0%)+IFERROR(ABS(VLOOKUP("Impairment of Goodwill*",'7.TIKR_IS'!$A:$K,COLUMN('2.FCF'!E7),FALSE)/'1.IS'!E3),0%)</f>
        <v>0</v>
      </c>
      <c r="F4" s="22">
        <f>IFERROR(ABS(VLOOKUP("Asset Writedown*",'7.TIKR_IS'!$A:$K,COLUMN('2.FCF'!F7),FALSE)/'1.IS'!F3),0%)+IFERROR(ABS(VLOOKUP("Impairment of Goodwill*",'7.TIKR_IS'!$A:$K,COLUMN('2.FCF'!F7),FALSE)/'1.IS'!F3),0%)</f>
        <v>0</v>
      </c>
      <c r="G4" s="22">
        <f>IFERROR(ABS(VLOOKUP("Asset Writedown*",'7.TIKR_IS'!$A:$K,COLUMN('2.FCF'!G7),FALSE)/'1.IS'!G3),0%)+IFERROR(ABS(VLOOKUP("Impairment of Goodwill*",'7.TIKR_IS'!$A:$K,COLUMN('2.FCF'!G7),FALSE)/'1.IS'!G3),0%)</f>
        <v>0</v>
      </c>
      <c r="H4" s="22">
        <f>IFERROR(ABS(VLOOKUP("Asset Writedown*",'7.TIKR_IS'!$A:$K,COLUMN('2.FCF'!H7),FALSE)/'1.IS'!H3),0%)+IFERROR(ABS(VLOOKUP("Impairment of Goodwill*",'7.TIKR_IS'!$A:$K,COLUMN('2.FCF'!H7),FALSE)/'1.IS'!H3),0%)</f>
        <v>0</v>
      </c>
      <c r="I4" s="22">
        <f>IFERROR(ABS(VLOOKUP("Asset Writedown*",'7.TIKR_IS'!$A:$K,COLUMN('2.FCF'!I7),FALSE)/'1.IS'!I3),0%)+IFERROR(ABS(VLOOKUP("Impairment of Goodwill*",'7.TIKR_IS'!$A:$K,COLUMN('2.FCF'!I7),FALSE)/'1.IS'!I3),0%)</f>
        <v>0</v>
      </c>
      <c r="J4" s="22">
        <f>IFERROR(ABS(VLOOKUP("Asset Writedown*",'7.TIKR_IS'!$A:$K,COLUMN('2.FCF'!J7),FALSE)/'1.IS'!J3),0%)+IFERROR(ABS(VLOOKUP("Impairment of Goodwill*",'7.TIKR_IS'!$A:$K,COLUMN('2.FCF'!J7),FALSE)/'1.IS'!J3),0%)</f>
        <v>0</v>
      </c>
      <c r="K4" s="130">
        <f>IFERROR(ABS(VLOOKUP("Asset Writedown*",'7.TIKR_IS'!$A:$K,COLUMN('2.FCF'!K7),FALSE)/'1.IS'!K3),0%)+IFERROR(ABS(VLOOKUP("Impairment of Goodwill*",'7.TIKR_IS'!$A:$K,COLUMN('2.FCF'!K7),FALSE)/'1.IS'!K3),0%)</f>
        <v>0</v>
      </c>
      <c r="L4" s="4"/>
      <c r="M4" s="4"/>
      <c r="N4" s="6"/>
      <c r="O4" s="10"/>
      <c r="P4" s="10"/>
      <c r="Q4" s="101"/>
    </row>
    <row r="5" spans="1:17" ht="25" customHeight="1" x14ac:dyDescent="0.2">
      <c r="A5" s="232" t="s">
        <v>164</v>
      </c>
      <c r="B5" s="124">
        <f>IFERROR(VLOOKUP("Divestitures*",'9.TIKR_CF'!$A:$K,COLUMN('2.FCF'!B2),FALSE)/'1.IS'!B3,0%)</f>
        <v>0</v>
      </c>
      <c r="C5" s="22">
        <f>IFERROR(VLOOKUP("Divestitures*",'9.TIKR_CF'!$A:$K,COLUMN('2.FCF'!C2),FALSE)/'1.IS'!C3,0%)</f>
        <v>0</v>
      </c>
      <c r="D5" s="22">
        <f>IFERROR(VLOOKUP("Divestitures*",'9.TIKR_CF'!$A:$K,COLUMN('2.FCF'!D2),FALSE)/'1.IS'!D3,0%)</f>
        <v>0</v>
      </c>
      <c r="E5" s="22">
        <f>IFERROR(VLOOKUP("Divestitures*",'9.TIKR_CF'!$A:$K,COLUMN('2.FCF'!E2),FALSE)/'1.IS'!E3,0%)</f>
        <v>0</v>
      </c>
      <c r="F5" s="22">
        <f>IFERROR(VLOOKUP("Divestitures*",'9.TIKR_CF'!$A:$K,COLUMN('2.FCF'!F2),FALSE)/'1.IS'!F3,0%)</f>
        <v>0</v>
      </c>
      <c r="G5" s="22">
        <f>IFERROR(VLOOKUP("Divestitures*",'9.TIKR_CF'!$A:$K,COLUMN('2.FCF'!G2),FALSE)/'1.IS'!G3,0%)</f>
        <v>0</v>
      </c>
      <c r="H5" s="22">
        <f>IFERROR(VLOOKUP("Divestitures*",'9.TIKR_CF'!$A:$K,COLUMN('2.FCF'!H2),FALSE)/'1.IS'!H3,0%)</f>
        <v>0</v>
      </c>
      <c r="I5" s="22">
        <f>IFERROR(VLOOKUP("Divestitures*",'9.TIKR_CF'!$A:$K,COLUMN('2.FCF'!I2),FALSE)/'1.IS'!I3,0%)</f>
        <v>0</v>
      </c>
      <c r="J5" s="22">
        <f>IFERROR(VLOOKUP("Divestitures*",'9.TIKR_CF'!$A:$K,COLUMN('2.FCF'!J2),FALSE)/'1.IS'!J3,0%)</f>
        <v>0</v>
      </c>
      <c r="K5" s="130">
        <f>IFERROR(VLOOKUP("Divestitures*",'9.TIKR_CF'!$A:$K,COLUMN('2.FCF'!K2),FALSE)/'1.IS'!K3,0%)</f>
        <v>0</v>
      </c>
      <c r="L5" s="4"/>
      <c r="M5" s="4"/>
      <c r="N5" s="6"/>
      <c r="O5" s="10"/>
      <c r="P5" s="10"/>
      <c r="Q5" s="101"/>
    </row>
    <row r="6" spans="1:17" ht="25" customHeight="1" x14ac:dyDescent="0.2">
      <c r="A6" s="232" t="s">
        <v>182</v>
      </c>
      <c r="B6" s="124">
        <f>IFERROR(VLOOKUP("Stock-Based Compensation*",'9.TIKR_CF'!$A:$K,COLUMN('2.FCF'!B2),FALSE)/'1.IS'!B3,0%)</f>
        <v>7.2893501359031377E-3</v>
      </c>
      <c r="C6" s="22">
        <f>IFERROR(VLOOKUP("Stock-Based Compensation*",'9.TIKR_CF'!$A:$K,COLUMN('2.FCF'!C2),FALSE)/'1.IS'!C3,0%)</f>
        <v>6.2590975254730712E-3</v>
      </c>
      <c r="D6" s="22">
        <f>IFERROR(VLOOKUP("Stock-Based Compensation*",'9.TIKR_CF'!$A:$K,COLUMN('2.FCF'!D2),FALSE)/'1.IS'!D3,0%)</f>
        <v>5.9895046295024316E-3</v>
      </c>
      <c r="E6" s="22">
        <f>IFERROR(VLOOKUP("Stock-Based Compensation*",'9.TIKR_CF'!$A:$K,COLUMN('2.FCF'!E2),FALSE)/'1.IS'!E3,0%)</f>
        <v>8.3084081090063142E-3</v>
      </c>
      <c r="F6" s="22">
        <f>IFERROR(VLOOKUP("Stock-Based Compensation*",'9.TIKR_CF'!$A:$K,COLUMN('2.FCF'!F2),FALSE)/'1.IS'!F3,0%)</f>
        <v>1.1469668208432478E-2</v>
      </c>
      <c r="G6" s="22">
        <f>IFERROR(VLOOKUP("Stock-Based Compensation*",'9.TIKR_CF'!$A:$K,COLUMN('2.FCF'!G2),FALSE)/'1.IS'!G3,0%)</f>
        <v>1.3718622300058377E-2</v>
      </c>
      <c r="H6" s="22">
        <f>IFERROR(VLOOKUP("Stock-Based Compensation*",'9.TIKR_CF'!$A:$K,COLUMN('2.FCF'!H2),FALSE)/'1.IS'!H3,0%)</f>
        <v>1.3658745450652965E-2</v>
      </c>
      <c r="I6" s="22">
        <f>IFERROR(VLOOKUP("Stock-Based Compensation*",'9.TIKR_CF'!$A:$K,COLUMN('2.FCF'!I2),FALSE)/'1.IS'!I3,0%)</f>
        <v>1.4741199211199407E-2</v>
      </c>
      <c r="J6" s="22">
        <f>IFERROR(VLOOKUP("Stock-Based Compensation*",'9.TIKR_CF'!$A:$K,COLUMN('2.FCF'!J2),FALSE)/'1.IS'!J3,0%)</f>
        <v>1.5653596043767766E-2</v>
      </c>
      <c r="K6" s="130">
        <f>IFERROR(VLOOKUP("Stock-Based Compensation*",'9.TIKR_CF'!$A:$K,COLUMN('2.FCF'!K2),FALSE)/'1.IS'!K3,0%)</f>
        <v>1.5310198881426937E-2</v>
      </c>
      <c r="L6" s="4"/>
      <c r="M6" s="4"/>
      <c r="N6" s="6"/>
      <c r="O6" s="10"/>
      <c r="P6" s="10"/>
      <c r="Q6" s="101"/>
    </row>
    <row r="7" spans="1:17" ht="25" customHeight="1" x14ac:dyDescent="0.2">
      <c r="A7" s="233" t="s">
        <v>165</v>
      </c>
      <c r="B7" s="142">
        <f>IFERROR(VLOOKUP("Issuance of Common Stock*",'9.TIKR_CF'!$A:$K,COLUMN('2.FCF'!B2),FALSE)/'1.IS'!B3,0%)</f>
        <v>1.5659747961452929E-2</v>
      </c>
      <c r="C7" s="139">
        <f>IFERROR(VLOOKUP("Issuance of Common Stock*",'9.TIKR_CF'!$A:$K,COLUMN('2.FCF'!C2),FALSE)/'1.IS'!C3,0%)</f>
        <v>1.4235807860262009E-2</v>
      </c>
      <c r="D7" s="139">
        <f>IFERROR(VLOOKUP("Issuance of Common Stock*",'9.TIKR_CF'!$A:$K,COLUMN('2.FCF'!D2),FALSE)/'1.IS'!D3,0%)</f>
        <v>2.0139022446904964E-2</v>
      </c>
      <c r="E7" s="139">
        <f>IFERROR(VLOOKUP("Issuance of Common Stock*",'9.TIKR_CF'!$A:$K,COLUMN('2.FCF'!E2),FALSE)/'1.IS'!E3,0%)</f>
        <v>1.7895032850167445E-2</v>
      </c>
      <c r="F7" s="139">
        <f>IFERROR(VLOOKUP("Issuance of Common Stock*",'9.TIKR_CF'!$A:$K,COLUMN('2.FCF'!F2),FALSE)/'1.IS'!F3,0%)</f>
        <v>2.3661203646766302E-2</v>
      </c>
      <c r="G7" s="139">
        <f>IFERROR(VLOOKUP("Issuance of Common Stock*",'9.TIKR_CF'!$A:$K,COLUMN('2.FCF'!G2),FALSE)/'1.IS'!G3,0%)</f>
        <v>2.631460775068481E-2</v>
      </c>
      <c r="H7" s="139">
        <f>IFERROR(VLOOKUP("Issuance of Common Stock*",'9.TIKR_CF'!$A:$K,COLUMN('2.FCF'!H2),FALSE)/'1.IS'!H3,0%)</f>
        <v>2.4641404410190536E-2</v>
      </c>
      <c r="I7" s="139">
        <f>IFERROR(VLOOKUP("Issuance of Common Stock*",'9.TIKR_CF'!$A:$K,COLUMN('2.FCF'!I2),FALSE)/'1.IS'!I3,0%)</f>
        <v>1.2710623425815647E-2</v>
      </c>
      <c r="J7" s="139">
        <f>IFERROR(VLOOKUP("Issuance of Common Stock*",'9.TIKR_CF'!$A:$K,COLUMN('2.FCF'!J2),FALSE)/'1.IS'!J3,0%)</f>
        <v>1.2986254429344651E-2</v>
      </c>
      <c r="K7" s="198">
        <f>IFERROR(VLOOKUP("Issuance of Common Stock*",'9.TIKR_CF'!$A:$K,COLUMN('2.FCF'!K2),FALSE)/'1.IS'!K3,0%)</f>
        <v>1.1898335096849424E-2</v>
      </c>
      <c r="L7" s="4"/>
      <c r="M7" s="4"/>
      <c r="N7" s="6"/>
    </row>
    <row r="8" spans="1:17" ht="25" customHeight="1" x14ac:dyDescent="0.2">
      <c r="A8" s="172"/>
      <c r="B8" s="101"/>
      <c r="C8" s="101"/>
      <c r="D8" s="101"/>
      <c r="E8" s="101"/>
      <c r="F8" s="101"/>
      <c r="G8" s="101"/>
      <c r="H8" s="101"/>
      <c r="I8" s="101"/>
      <c r="J8" s="101"/>
      <c r="K8" s="101"/>
      <c r="L8" s="101"/>
      <c r="M8" s="101"/>
    </row>
    <row r="9" spans="1:17" ht="40" customHeight="1" x14ac:dyDescent="0.2">
      <c r="A9" s="103" t="s">
        <v>170</v>
      </c>
      <c r="B9" s="55" t="s">
        <v>138</v>
      </c>
      <c r="C9" s="231"/>
      <c r="D9" s="231"/>
      <c r="E9" s="231"/>
      <c r="F9" s="231"/>
      <c r="G9" s="231"/>
      <c r="H9" s="231"/>
      <c r="I9" s="231"/>
      <c r="J9" s="231"/>
      <c r="K9" s="231"/>
      <c r="L9" s="4"/>
      <c r="M9" s="4"/>
      <c r="N9" s="10"/>
      <c r="O9" s="10"/>
      <c r="P9" s="10"/>
      <c r="Q9" s="101"/>
    </row>
    <row r="10" spans="1:17" ht="25" customHeight="1" x14ac:dyDescent="0.2">
      <c r="A10" s="238" t="s">
        <v>171</v>
      </c>
      <c r="B10" s="236"/>
      <c r="C10" s="62"/>
      <c r="D10" s="62"/>
      <c r="E10" s="62"/>
      <c r="F10" s="62"/>
      <c r="G10" s="62"/>
      <c r="H10" s="62"/>
      <c r="I10" s="62"/>
      <c r="J10" s="62"/>
      <c r="K10" s="62"/>
      <c r="L10" s="213"/>
      <c r="M10" s="101"/>
      <c r="N10" s="6"/>
    </row>
    <row r="11" spans="1:17" ht="25" customHeight="1" x14ac:dyDescent="0.2">
      <c r="A11" s="232" t="s">
        <v>172</v>
      </c>
      <c r="B11" s="234">
        <f>TIKR_Cálculos!L72</f>
        <v>2</v>
      </c>
      <c r="C11" s="62"/>
      <c r="D11" s="62"/>
      <c r="E11" s="62"/>
      <c r="F11" s="62"/>
      <c r="G11" s="62"/>
      <c r="H11" s="62"/>
      <c r="I11" s="62"/>
      <c r="J11" s="62"/>
      <c r="K11" s="62"/>
      <c r="L11" s="213"/>
      <c r="M11" s="101"/>
      <c r="N11" s="6"/>
    </row>
    <row r="12" spans="1:17" ht="25" customHeight="1" x14ac:dyDescent="0.2">
      <c r="A12" s="232" t="s">
        <v>173</v>
      </c>
      <c r="B12" s="234">
        <f>TIKR_Cálculos!L73</f>
        <v>7</v>
      </c>
    </row>
    <row r="13" spans="1:17" ht="25" customHeight="1" x14ac:dyDescent="0.2">
      <c r="A13" s="232" t="s">
        <v>174</v>
      </c>
      <c r="B13" s="234">
        <f>TIKR_Cálculos!L74</f>
        <v>0</v>
      </c>
    </row>
    <row r="14" spans="1:17" ht="25" customHeight="1" x14ac:dyDescent="0.2">
      <c r="A14" s="232" t="s">
        <v>176</v>
      </c>
      <c r="B14" s="234">
        <f>TIKR_Cálculos!L75</f>
        <v>0</v>
      </c>
    </row>
    <row r="15" spans="1:17" ht="25" customHeight="1" x14ac:dyDescent="0.2">
      <c r="A15" s="233" t="s">
        <v>178</v>
      </c>
      <c r="B15" s="237">
        <f>TIKR_Cálculos!L76</f>
        <v>0</v>
      </c>
    </row>
    <row r="16" spans="1:17" ht="25" customHeight="1" x14ac:dyDescent="0.2"/>
    <row r="17" spans="1:20" ht="25" customHeight="1" x14ac:dyDescent="0.2">
      <c r="B17" s="239"/>
      <c r="C17" s="239"/>
      <c r="D17" s="239"/>
      <c r="E17" s="239"/>
      <c r="F17" s="239"/>
      <c r="G17" s="239"/>
      <c r="H17" s="239"/>
      <c r="I17" s="239"/>
      <c r="J17" s="239"/>
      <c r="K17" s="239"/>
    </row>
    <row r="18" spans="1:20" ht="25" customHeight="1" x14ac:dyDescent="0.2"/>
    <row r="19" spans="1:20" s="5" customFormat="1" ht="25" customHeight="1" x14ac:dyDescent="0.2">
      <c r="A19" s="4"/>
      <c r="R19" s="4"/>
      <c r="S19" s="4"/>
      <c r="T19" s="4"/>
    </row>
    <row r="20" spans="1:20" s="5" customFormat="1" ht="25" customHeight="1" x14ac:dyDescent="0.2">
      <c r="A20" s="4"/>
      <c r="R20" s="4"/>
      <c r="S20" s="4"/>
      <c r="T20" s="4"/>
    </row>
    <row r="21" spans="1:20" s="5" customFormat="1" ht="25" customHeight="1" x14ac:dyDescent="0.2">
      <c r="A21" s="4"/>
      <c r="R21" s="4"/>
      <c r="S21" s="4"/>
      <c r="T21" s="4"/>
    </row>
    <row r="22" spans="1:20" s="5" customFormat="1" ht="25" customHeight="1" x14ac:dyDescent="0.2">
      <c r="A22" s="4"/>
      <c r="R22" s="4"/>
      <c r="S22" s="4"/>
      <c r="T22" s="4"/>
    </row>
    <row r="23" spans="1:20" s="5" customFormat="1" ht="25" customHeight="1" x14ac:dyDescent="0.2">
      <c r="A23" s="4"/>
      <c r="R23" s="4"/>
      <c r="S23" s="4"/>
      <c r="T23" s="4"/>
    </row>
    <row r="24" spans="1:20" s="5" customFormat="1" ht="25" customHeight="1" x14ac:dyDescent="0.2">
      <c r="A24" s="4"/>
      <c r="R24" s="4"/>
      <c r="S24" s="4"/>
      <c r="T24" s="4"/>
    </row>
    <row r="25" spans="1:20" s="5" customFormat="1" ht="25" customHeight="1" x14ac:dyDescent="0.2">
      <c r="A25" s="4"/>
      <c r="R25" s="4"/>
      <c r="S25" s="4"/>
      <c r="T25" s="4"/>
    </row>
    <row r="26" spans="1:20" s="5" customFormat="1" ht="25" customHeight="1" x14ac:dyDescent="0.2">
      <c r="A26" s="4"/>
      <c r="R26" s="4"/>
      <c r="S26" s="4"/>
      <c r="T26" s="4"/>
    </row>
    <row r="27" spans="1:20" s="5" customFormat="1" ht="25" customHeight="1" x14ac:dyDescent="0.2">
      <c r="A27" s="4"/>
      <c r="R27" s="4"/>
      <c r="S27" s="4"/>
      <c r="T27" s="4"/>
    </row>
    <row r="28" spans="1:20" s="5" customFormat="1" ht="25" customHeight="1" x14ac:dyDescent="0.2">
      <c r="A28" s="4"/>
      <c r="R28" s="4"/>
      <c r="S28" s="4"/>
      <c r="T28" s="4"/>
    </row>
    <row r="31" spans="1:20" s="5" customFormat="1" ht="17" x14ac:dyDescent="0.2">
      <c r="A31" s="4"/>
      <c r="L31" s="69"/>
      <c r="M31" s="69"/>
      <c r="R31" s="4"/>
      <c r="S31" s="4"/>
      <c r="T31" s="4"/>
    </row>
    <row r="32" spans="1:20" s="5" customFormat="1" ht="17" x14ac:dyDescent="0.2">
      <c r="A32" s="4"/>
      <c r="L32" s="213"/>
      <c r="M32" s="213"/>
      <c r="R32" s="4"/>
      <c r="S32" s="4"/>
      <c r="T32" s="4"/>
    </row>
    <row r="33" spans="1:20" s="5" customFormat="1" ht="17" x14ac:dyDescent="0.2">
      <c r="A33" s="4"/>
      <c r="L33" s="213"/>
      <c r="M33" s="213"/>
      <c r="R33" s="4"/>
      <c r="S33" s="4"/>
      <c r="T33" s="4"/>
    </row>
    <row r="34" spans="1:20" s="5" customFormat="1" ht="17" x14ac:dyDescent="0.2">
      <c r="A34" s="4"/>
      <c r="L34" s="213"/>
      <c r="M34" s="213"/>
      <c r="R34" s="4"/>
      <c r="S34" s="4"/>
      <c r="T34" s="4"/>
    </row>
    <row r="35" spans="1:20" s="5" customFormat="1" ht="17" x14ac:dyDescent="0.2">
      <c r="A35" s="4"/>
      <c r="L35" s="213"/>
      <c r="M35" s="213"/>
      <c r="R35" s="4"/>
      <c r="S35" s="4"/>
      <c r="T35" s="4"/>
    </row>
    <row r="36" spans="1:20" s="5" customFormat="1" ht="17" x14ac:dyDescent="0.2">
      <c r="A36" s="4"/>
      <c r="L36" s="213"/>
      <c r="M36" s="213"/>
      <c r="R36" s="4"/>
      <c r="S36" s="4"/>
      <c r="T36" s="4"/>
    </row>
  </sheetData>
  <conditionalFormatting sqref="B11:B15">
    <cfRule type="cellIs" dxfId="2" priority="1" operator="greaterThan">
      <formula>1</formula>
    </cfRule>
  </conditionalFormatting>
  <conditionalFormatting sqref="B3:K3">
    <cfRule type="cellIs" dxfId="1" priority="4" operator="greaterThan">
      <formula>0.01</formula>
    </cfRule>
  </conditionalFormatting>
  <conditionalFormatting sqref="B4:K7">
    <cfRule type="cellIs" dxfId="0" priority="2"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F2D-A912-4254-99DB-696E457A7EE4}">
  <dimension ref="A1:S86"/>
  <sheetViews>
    <sheetView showGridLines="0" zoomScaleNormal="100" workbookViewId="0"/>
  </sheetViews>
  <sheetFormatPr baseColWidth="10" defaultColWidth="0" defaultRowHeight="16" x14ac:dyDescent="0.2"/>
  <cols>
    <col min="1" max="1" width="41.83203125" style="4" bestFit="1" customWidth="1"/>
    <col min="2" max="7" width="10.6640625" style="5" customWidth="1"/>
    <col min="8" max="9" width="12.6640625" style="5" customWidth="1"/>
    <col min="10" max="19" width="11.5" style="4" customWidth="1"/>
    <col min="20" max="16384" width="11.5" style="4" hidden="1"/>
  </cols>
  <sheetData>
    <row r="1" spans="1:2" ht="65.25" customHeight="1" x14ac:dyDescent="0.2">
      <c r="A1" s="7" t="str">
        <f>IF('1.IS'!A1&lt;&gt;"",'1.IS'!A1,"")</f>
        <v/>
      </c>
      <c r="B1" s="17" t="s">
        <v>90</v>
      </c>
    </row>
    <row r="31" spans="2:2" ht="20" customHeight="1" x14ac:dyDescent="0.2"/>
    <row r="32" spans="2:2" s="6" customFormat="1" ht="20" customHeight="1" x14ac:dyDescent="0.2">
      <c r="B32" s="17"/>
    </row>
    <row r="33" s="6" customFormat="1" x14ac:dyDescent="0.2"/>
    <row r="34" s="6" customFormat="1" x14ac:dyDescent="0.2"/>
    <row r="35" s="6" customFormat="1" x14ac:dyDescent="0.2"/>
    <row r="36" s="6" customFormat="1" x14ac:dyDescent="0.2"/>
    <row r="37" s="6" customFormat="1" x14ac:dyDescent="0.2"/>
    <row r="38" s="6" customFormat="1" x14ac:dyDescent="0.2"/>
    <row r="39" s="6" customFormat="1" x14ac:dyDescent="0.2"/>
    <row r="40" s="6" customFormat="1" x14ac:dyDescent="0.2"/>
    <row r="41" s="6" customFormat="1" x14ac:dyDescent="0.2"/>
    <row r="42" s="6" customFormat="1" x14ac:dyDescent="0.2"/>
    <row r="43" s="6" customFormat="1" x14ac:dyDescent="0.2"/>
    <row r="44" s="6" customFormat="1" x14ac:dyDescent="0.2"/>
    <row r="45" s="6" customFormat="1" x14ac:dyDescent="0.2"/>
    <row r="46" s="6" customFormat="1" x14ac:dyDescent="0.2"/>
    <row r="47" s="6" customFormat="1" x14ac:dyDescent="0.2"/>
    <row r="48" s="6" customFormat="1" x14ac:dyDescent="0.2"/>
    <row r="49" spans="2:9" s="6" customFormat="1" x14ac:dyDescent="0.2"/>
    <row r="50" spans="2:9" s="6" customFormat="1" x14ac:dyDescent="0.2"/>
    <row r="51" spans="2:9" s="6" customFormat="1" x14ac:dyDescent="0.2"/>
    <row r="52" spans="2:9" s="6" customFormat="1" x14ac:dyDescent="0.2">
      <c r="B52" s="163"/>
      <c r="C52" s="163"/>
      <c r="D52" s="163"/>
      <c r="E52" s="163"/>
      <c r="F52" s="163"/>
      <c r="G52" s="163"/>
      <c r="H52" s="163"/>
      <c r="I52" s="7"/>
    </row>
    <row r="53" spans="2:9" s="6" customFormat="1" x14ac:dyDescent="0.2">
      <c r="B53" s="163"/>
      <c r="C53" s="163"/>
      <c r="D53" s="163"/>
      <c r="E53" s="163"/>
      <c r="F53" s="163"/>
      <c r="G53" s="163"/>
      <c r="H53" s="163"/>
      <c r="I53" s="7"/>
    </row>
    <row r="54" spans="2:9" s="6" customFormat="1" x14ac:dyDescent="0.2">
      <c r="B54" s="163"/>
      <c r="C54" s="163"/>
      <c r="D54" s="163"/>
      <c r="E54" s="163"/>
      <c r="F54" s="163"/>
      <c r="G54" s="163"/>
      <c r="H54" s="163"/>
      <c r="I54" s="7"/>
    </row>
    <row r="55" spans="2:9" s="6" customFormat="1" x14ac:dyDescent="0.2">
      <c r="B55" s="163"/>
      <c r="C55" s="163"/>
      <c r="D55" s="163"/>
      <c r="E55" s="163"/>
      <c r="F55" s="163"/>
      <c r="G55" s="163"/>
      <c r="H55" s="163"/>
      <c r="I55" s="7"/>
    </row>
    <row r="56" spans="2:9" s="6" customFormat="1" x14ac:dyDescent="0.2">
      <c r="B56" s="7"/>
      <c r="C56" s="7"/>
      <c r="D56" s="7"/>
      <c r="E56" s="7"/>
      <c r="F56" s="7"/>
      <c r="G56" s="7"/>
      <c r="H56" s="7"/>
      <c r="I56" s="7"/>
    </row>
    <row r="57" spans="2:9" s="6" customFormat="1" x14ac:dyDescent="0.2">
      <c r="B57" s="7"/>
      <c r="C57" s="7"/>
      <c r="D57" s="7"/>
      <c r="E57" s="7"/>
      <c r="F57" s="7"/>
      <c r="G57" s="7"/>
      <c r="H57" s="7"/>
      <c r="I57" s="7"/>
    </row>
    <row r="58" spans="2:9" s="6" customFormat="1" x14ac:dyDescent="0.2">
      <c r="B58" s="7"/>
      <c r="C58" s="7"/>
      <c r="D58" s="7"/>
      <c r="E58" s="7"/>
      <c r="F58" s="7"/>
      <c r="G58" s="7"/>
      <c r="H58" s="7"/>
      <c r="I58" s="7"/>
    </row>
    <row r="59" spans="2:9" s="6" customFormat="1" x14ac:dyDescent="0.2">
      <c r="B59" s="7"/>
      <c r="C59" s="7"/>
      <c r="D59" s="7"/>
      <c r="E59" s="7"/>
      <c r="F59" s="7"/>
      <c r="G59" s="7"/>
      <c r="H59" s="7"/>
      <c r="I59" s="7"/>
    </row>
    <row r="60" spans="2:9" s="6" customFormat="1" x14ac:dyDescent="0.2">
      <c r="B60" s="7"/>
      <c r="C60" s="7"/>
      <c r="D60" s="7"/>
      <c r="E60" s="7"/>
      <c r="F60" s="7"/>
      <c r="G60" s="7"/>
      <c r="H60" s="7"/>
      <c r="I60" s="7"/>
    </row>
    <row r="61" spans="2:9" s="6" customFormat="1" x14ac:dyDescent="0.2">
      <c r="B61" s="7"/>
      <c r="C61" s="7"/>
      <c r="D61" s="7"/>
      <c r="E61" s="7"/>
      <c r="F61" s="7"/>
      <c r="G61" s="7"/>
      <c r="H61" s="7"/>
      <c r="I61" s="7"/>
    </row>
    <row r="62" spans="2:9" s="6" customFormat="1" x14ac:dyDescent="0.2">
      <c r="B62" s="7"/>
      <c r="C62" s="7"/>
      <c r="D62" s="7"/>
      <c r="E62" s="7"/>
      <c r="F62" s="7"/>
      <c r="G62" s="7"/>
      <c r="H62" s="7"/>
      <c r="I62" s="7"/>
    </row>
    <row r="63" spans="2:9" s="6" customFormat="1" x14ac:dyDescent="0.2">
      <c r="B63" s="7"/>
      <c r="C63" s="7"/>
      <c r="D63" s="7"/>
      <c r="E63" s="7"/>
      <c r="F63" s="7"/>
      <c r="G63" s="7"/>
      <c r="H63" s="7"/>
      <c r="I63" s="7"/>
    </row>
    <row r="64" spans="2:9" s="6" customFormat="1" x14ac:dyDescent="0.2">
      <c r="B64" s="7"/>
      <c r="C64" s="7"/>
      <c r="D64" s="7"/>
      <c r="E64" s="7"/>
      <c r="F64" s="7"/>
      <c r="G64" s="7"/>
      <c r="H64" s="7"/>
      <c r="I64" s="7"/>
    </row>
    <row r="65" spans="2:9" s="6" customFormat="1" x14ac:dyDescent="0.2">
      <c r="B65" s="7"/>
      <c r="C65" s="7"/>
      <c r="D65" s="7"/>
      <c r="E65" s="7"/>
      <c r="F65" s="7"/>
      <c r="G65" s="7"/>
      <c r="H65" s="7"/>
      <c r="I65" s="7"/>
    </row>
    <row r="66" spans="2:9" s="6" customFormat="1" x14ac:dyDescent="0.2">
      <c r="B66" s="7"/>
      <c r="C66" s="7"/>
      <c r="D66" s="7"/>
      <c r="E66" s="7"/>
      <c r="F66" s="7"/>
      <c r="G66" s="7"/>
      <c r="H66" s="7"/>
      <c r="I66" s="7"/>
    </row>
    <row r="67" spans="2:9" s="6" customFormat="1" x14ac:dyDescent="0.2">
      <c r="B67" s="7"/>
      <c r="C67" s="7"/>
      <c r="D67" s="7"/>
      <c r="E67" s="7"/>
      <c r="F67" s="7"/>
      <c r="G67" s="7"/>
      <c r="H67" s="7"/>
      <c r="I67" s="7"/>
    </row>
    <row r="68" spans="2:9" s="6" customFormat="1" x14ac:dyDescent="0.2">
      <c r="B68" s="7"/>
      <c r="C68" s="7"/>
      <c r="D68" s="7"/>
      <c r="E68" s="7"/>
      <c r="F68" s="7"/>
      <c r="G68" s="7"/>
      <c r="H68" s="7"/>
      <c r="I68" s="7"/>
    </row>
    <row r="69" spans="2:9" s="6" customFormat="1" x14ac:dyDescent="0.2">
      <c r="B69" s="7"/>
      <c r="C69" s="7"/>
      <c r="D69" s="7"/>
      <c r="E69" s="7"/>
      <c r="F69" s="7"/>
      <c r="G69" s="7"/>
      <c r="H69" s="7"/>
      <c r="I69" s="7"/>
    </row>
    <row r="70" spans="2:9" s="6" customFormat="1" x14ac:dyDescent="0.2">
      <c r="B70" s="7"/>
      <c r="C70" s="7"/>
      <c r="D70" s="7"/>
      <c r="E70" s="7"/>
      <c r="F70" s="7"/>
      <c r="G70" s="7"/>
      <c r="H70" s="7"/>
      <c r="I70" s="7"/>
    </row>
    <row r="71" spans="2:9" s="6" customFormat="1" x14ac:dyDescent="0.2">
      <c r="B71" s="7"/>
      <c r="C71" s="7"/>
      <c r="D71" s="7"/>
      <c r="E71" s="7"/>
      <c r="F71" s="7"/>
      <c r="G71" s="7"/>
      <c r="H71" s="7"/>
      <c r="I71" s="7"/>
    </row>
    <row r="72" spans="2:9" s="6" customFormat="1" x14ac:dyDescent="0.2">
      <c r="B72" s="7"/>
      <c r="C72" s="7"/>
      <c r="D72" s="7"/>
      <c r="E72" s="7"/>
      <c r="F72" s="7"/>
      <c r="G72" s="7"/>
      <c r="H72" s="7"/>
      <c r="I72" s="7"/>
    </row>
    <row r="73" spans="2:9" s="6" customFormat="1" x14ac:dyDescent="0.2">
      <c r="B73" s="7"/>
      <c r="C73" s="7"/>
      <c r="D73" s="7"/>
      <c r="E73" s="7"/>
      <c r="F73" s="7"/>
      <c r="G73" s="7"/>
      <c r="H73" s="7"/>
      <c r="I73" s="7"/>
    </row>
    <row r="74" spans="2:9" s="6" customFormat="1" x14ac:dyDescent="0.2">
      <c r="B74" s="7"/>
      <c r="C74" s="7"/>
      <c r="D74" s="7"/>
      <c r="E74" s="7"/>
      <c r="F74" s="7"/>
      <c r="G74" s="7"/>
      <c r="H74" s="7"/>
      <c r="I74" s="7"/>
    </row>
    <row r="75" spans="2:9" s="6" customFormat="1" x14ac:dyDescent="0.2">
      <c r="B75" s="7"/>
      <c r="C75" s="7"/>
      <c r="D75" s="7"/>
      <c r="E75" s="7"/>
      <c r="F75" s="7"/>
      <c r="G75" s="7"/>
      <c r="H75" s="7"/>
      <c r="I75" s="7"/>
    </row>
    <row r="76" spans="2:9" s="6" customFormat="1" x14ac:dyDescent="0.2">
      <c r="B76" s="7"/>
      <c r="C76" s="7"/>
      <c r="D76" s="7"/>
      <c r="E76" s="7"/>
      <c r="F76" s="7"/>
      <c r="G76" s="7"/>
      <c r="H76" s="7"/>
      <c r="I76" s="7"/>
    </row>
    <row r="77" spans="2:9" s="6" customFormat="1" x14ac:dyDescent="0.2">
      <c r="B77" s="7"/>
      <c r="C77" s="7"/>
      <c r="D77" s="7"/>
      <c r="E77" s="7"/>
      <c r="F77" s="7"/>
      <c r="G77" s="7"/>
      <c r="H77" s="7"/>
      <c r="I77" s="7"/>
    </row>
    <row r="78" spans="2:9" s="6" customFormat="1" x14ac:dyDescent="0.2">
      <c r="B78" s="7"/>
      <c r="C78" s="7"/>
      <c r="D78" s="7"/>
      <c r="E78" s="7"/>
      <c r="F78" s="7"/>
      <c r="G78" s="7"/>
      <c r="H78" s="7"/>
      <c r="I78" s="7"/>
    </row>
    <row r="79" spans="2:9" s="6" customFormat="1" x14ac:dyDescent="0.2">
      <c r="B79" s="7"/>
      <c r="C79" s="7"/>
      <c r="D79" s="7"/>
      <c r="E79" s="7"/>
      <c r="F79" s="7"/>
      <c r="G79" s="7"/>
      <c r="H79" s="7"/>
      <c r="I79" s="7"/>
    </row>
    <row r="80" spans="2:9" s="6" customFormat="1" x14ac:dyDescent="0.2">
      <c r="B80" s="7"/>
      <c r="C80" s="7"/>
      <c r="D80" s="7"/>
      <c r="E80" s="7"/>
      <c r="F80" s="7"/>
      <c r="G80" s="7"/>
      <c r="H80" s="7"/>
      <c r="I80" s="7"/>
    </row>
    <row r="81" spans="2:9" s="6" customFormat="1" x14ac:dyDescent="0.2">
      <c r="B81" s="7"/>
      <c r="C81" s="7"/>
      <c r="D81" s="7"/>
      <c r="E81" s="7"/>
      <c r="F81" s="7"/>
      <c r="G81" s="7"/>
      <c r="H81" s="7"/>
      <c r="I81" s="7"/>
    </row>
    <row r="82" spans="2:9" s="6" customFormat="1" x14ac:dyDescent="0.2">
      <c r="B82" s="7"/>
      <c r="C82" s="7"/>
      <c r="D82" s="7"/>
      <c r="E82" s="7"/>
      <c r="F82" s="7"/>
      <c r="G82" s="7"/>
      <c r="H82" s="7"/>
      <c r="I82" s="7"/>
    </row>
    <row r="83" spans="2:9" s="6" customFormat="1" x14ac:dyDescent="0.2">
      <c r="B83" s="7"/>
      <c r="C83" s="7"/>
      <c r="D83" s="7"/>
      <c r="E83" s="7"/>
      <c r="F83" s="7"/>
      <c r="G83" s="7"/>
      <c r="H83" s="7"/>
      <c r="I83" s="7"/>
    </row>
    <row r="84" spans="2:9" s="6" customFormat="1" x14ac:dyDescent="0.2">
      <c r="B84" s="7"/>
      <c r="C84" s="7"/>
      <c r="D84" s="7"/>
      <c r="E84" s="7"/>
      <c r="F84" s="7"/>
      <c r="G84" s="7"/>
      <c r="H84" s="7"/>
      <c r="I84" s="7"/>
    </row>
    <row r="85" spans="2:9" s="6" customFormat="1" x14ac:dyDescent="0.2">
      <c r="B85" s="7"/>
      <c r="C85" s="7"/>
      <c r="D85" s="7"/>
      <c r="E85" s="7"/>
      <c r="F85" s="7"/>
      <c r="G85" s="7"/>
      <c r="H85" s="7"/>
      <c r="I85" s="7"/>
    </row>
    <row r="86" spans="2:9" s="6" customFormat="1" x14ac:dyDescent="0.2">
      <c r="B86" s="7"/>
      <c r="C86" s="7"/>
      <c r="D86" s="7"/>
      <c r="E86" s="7"/>
      <c r="F86" s="7"/>
      <c r="G86" s="7"/>
      <c r="H86" s="7"/>
      <c r="I86" s="7"/>
    </row>
  </sheetData>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dimension ref="A1:L68"/>
  <sheetViews>
    <sheetView showGridLines="0" workbookViewId="0">
      <pane xSplit="1" ySplit="2" topLeftCell="B4" activePane="bottomRight" state="frozen"/>
      <selection pane="topRight" activeCell="B1" sqref="B1"/>
      <selection pane="bottomLeft" activeCell="A3" sqref="A3"/>
      <selection pane="bottomRight" activeCell="K2" sqref="K2"/>
    </sheetView>
  </sheetViews>
  <sheetFormatPr baseColWidth="10" defaultColWidth="0" defaultRowHeight="15" x14ac:dyDescent="0.2"/>
  <cols>
    <col min="1" max="1" width="48.5" bestFit="1" customWidth="1"/>
    <col min="2" max="11" width="14.6640625" style="3" customWidth="1"/>
    <col min="12" max="12" width="14.6640625" style="3" hidden="1" customWidth="1"/>
    <col min="13" max="16384" width="11.5" hidden="1"/>
  </cols>
  <sheetData>
    <row r="1" spans="1:12" x14ac:dyDescent="0.2">
      <c r="A1" s="318"/>
      <c r="B1" s="318"/>
      <c r="C1" s="318"/>
      <c r="D1" s="318"/>
      <c r="E1" s="318"/>
      <c r="F1" s="318"/>
      <c r="G1" s="318"/>
      <c r="H1" s="318"/>
      <c r="I1" s="318"/>
      <c r="J1" s="318"/>
    </row>
    <row r="2" spans="1:12" s="75" customFormat="1" ht="19" x14ac:dyDescent="0.25">
      <c r="A2" s="279" t="s">
        <v>224</v>
      </c>
      <c r="B2" s="279" t="s">
        <v>287</v>
      </c>
      <c r="C2" s="279" t="s">
        <v>225</v>
      </c>
      <c r="D2" s="279" t="s">
        <v>226</v>
      </c>
      <c r="E2" s="279" t="s">
        <v>227</v>
      </c>
      <c r="F2" s="279" t="s">
        <v>228</v>
      </c>
      <c r="G2" s="279" t="s">
        <v>229</v>
      </c>
      <c r="H2" s="279" t="s">
        <v>230</v>
      </c>
      <c r="I2" s="279" t="s">
        <v>231</v>
      </c>
      <c r="J2" s="279" t="s">
        <v>232</v>
      </c>
      <c r="K2" s="279" t="s">
        <v>233</v>
      </c>
      <c r="L2" s="77"/>
    </row>
    <row r="3" spans="1:12" x14ac:dyDescent="0.2">
      <c r="B3"/>
      <c r="C3"/>
      <c r="D3"/>
      <c r="E3"/>
      <c r="F3"/>
      <c r="G3"/>
      <c r="H3"/>
      <c r="I3"/>
      <c r="J3"/>
      <c r="K3" s="74"/>
      <c r="L3" s="74"/>
    </row>
    <row r="4" spans="1:12" ht="19" x14ac:dyDescent="0.25">
      <c r="A4" s="280" t="s">
        <v>234</v>
      </c>
      <c r="B4" s="281">
        <v>32376</v>
      </c>
      <c r="C4" s="281">
        <v>34350</v>
      </c>
      <c r="D4" s="281">
        <v>36397</v>
      </c>
      <c r="E4" s="281">
        <v>39117</v>
      </c>
      <c r="F4" s="281">
        <v>37403</v>
      </c>
      <c r="G4" s="281">
        <v>44538</v>
      </c>
      <c r="H4" s="281">
        <v>46710</v>
      </c>
      <c r="I4" s="281">
        <v>51217</v>
      </c>
      <c r="J4" s="281">
        <v>51362</v>
      </c>
      <c r="K4" s="281">
        <v>46309</v>
      </c>
      <c r="L4" s="74"/>
    </row>
    <row r="5" spans="1:12" ht="19" x14ac:dyDescent="0.25">
      <c r="A5" s="282" t="s">
        <v>235</v>
      </c>
      <c r="B5" s="283">
        <v>32376</v>
      </c>
      <c r="C5" s="283">
        <v>34350</v>
      </c>
      <c r="D5" s="283">
        <v>36397</v>
      </c>
      <c r="E5" s="283">
        <v>39117</v>
      </c>
      <c r="F5" s="283">
        <v>37403</v>
      </c>
      <c r="G5" s="283">
        <v>44538</v>
      </c>
      <c r="H5" s="283">
        <v>46710</v>
      </c>
      <c r="I5" s="283">
        <v>51217</v>
      </c>
      <c r="J5" s="283">
        <v>51362</v>
      </c>
      <c r="K5" s="283">
        <v>46309</v>
      </c>
      <c r="L5" s="74"/>
    </row>
    <row r="6" spans="1:12" ht="19" x14ac:dyDescent="0.25">
      <c r="A6" s="284" t="s">
        <v>236</v>
      </c>
      <c r="B6" s="285">
        <v>5.8000000000000003E-2</v>
      </c>
      <c r="C6" s="285">
        <v>6.0999999999999999E-2</v>
      </c>
      <c r="D6" s="285">
        <v>0.06</v>
      </c>
      <c r="E6" s="285">
        <v>7.4999999999999997E-2</v>
      </c>
      <c r="F6" s="286">
        <v>-4.3999999999999997E-2</v>
      </c>
      <c r="G6" s="285">
        <v>0.191</v>
      </c>
      <c r="H6" s="285">
        <v>4.9000000000000002E-2</v>
      </c>
      <c r="I6" s="285">
        <v>9.6000000000000002E-2</v>
      </c>
      <c r="J6" s="285">
        <v>3.0000000000000001E-3</v>
      </c>
      <c r="K6" s="286">
        <v>-9.8000000000000004E-2</v>
      </c>
      <c r="L6" s="74"/>
    </row>
    <row r="7" spans="1:12" ht="19" x14ac:dyDescent="0.25">
      <c r="A7" s="280" t="s">
        <v>237</v>
      </c>
      <c r="B7" s="287">
        <v>-17405</v>
      </c>
      <c r="C7" s="287">
        <v>-19038</v>
      </c>
      <c r="D7" s="287">
        <v>-20441</v>
      </c>
      <c r="E7" s="287">
        <v>-21643</v>
      </c>
      <c r="F7" s="287">
        <v>-21162</v>
      </c>
      <c r="G7" s="287">
        <v>-24537</v>
      </c>
      <c r="H7" s="287">
        <v>-25231</v>
      </c>
      <c r="I7" s="287">
        <v>-28925</v>
      </c>
      <c r="J7" s="287">
        <v>-28411</v>
      </c>
      <c r="K7" s="287">
        <v>-26519</v>
      </c>
      <c r="L7" s="74"/>
    </row>
    <row r="8" spans="1:12" ht="19" x14ac:dyDescent="0.25">
      <c r="A8" s="282" t="s">
        <v>238</v>
      </c>
      <c r="B8" s="283">
        <v>14971</v>
      </c>
      <c r="C8" s="283">
        <v>15312</v>
      </c>
      <c r="D8" s="283">
        <v>15956</v>
      </c>
      <c r="E8" s="283">
        <v>17474</v>
      </c>
      <c r="F8" s="283">
        <v>16241</v>
      </c>
      <c r="G8" s="283">
        <v>20001</v>
      </c>
      <c r="H8" s="283">
        <v>21479</v>
      </c>
      <c r="I8" s="283">
        <v>22292</v>
      </c>
      <c r="J8" s="283">
        <v>22951</v>
      </c>
      <c r="K8" s="283">
        <v>19790</v>
      </c>
      <c r="L8" s="74"/>
    </row>
    <row r="9" spans="1:12" ht="19" x14ac:dyDescent="0.25">
      <c r="A9" s="284" t="s">
        <v>236</v>
      </c>
      <c r="B9" s="285">
        <v>6.4000000000000001E-2</v>
      </c>
      <c r="C9" s="285">
        <v>2.3E-2</v>
      </c>
      <c r="D9" s="285">
        <v>4.2000000000000003E-2</v>
      </c>
      <c r="E9" s="285">
        <v>9.5000000000000001E-2</v>
      </c>
      <c r="F9" s="286">
        <v>-7.0999999999999994E-2</v>
      </c>
      <c r="G9" s="285">
        <v>0.23200000000000001</v>
      </c>
      <c r="H9" s="285">
        <v>7.3999999999999996E-2</v>
      </c>
      <c r="I9" s="285">
        <v>3.7999999999999999E-2</v>
      </c>
      <c r="J9" s="285">
        <v>0.03</v>
      </c>
      <c r="K9" s="286">
        <v>-0.13800000000000001</v>
      </c>
      <c r="L9" s="74"/>
    </row>
    <row r="10" spans="1:12" ht="19" x14ac:dyDescent="0.25">
      <c r="A10" s="284" t="s">
        <v>239</v>
      </c>
      <c r="B10" s="285">
        <v>0.46200000000000002</v>
      </c>
      <c r="C10" s="285">
        <v>0.44600000000000001</v>
      </c>
      <c r="D10" s="285">
        <v>0.438</v>
      </c>
      <c r="E10" s="285">
        <v>0.44700000000000001</v>
      </c>
      <c r="F10" s="285">
        <v>0.434</v>
      </c>
      <c r="G10" s="285">
        <v>0.44900000000000001</v>
      </c>
      <c r="H10" s="285">
        <v>0.46</v>
      </c>
      <c r="I10" s="285">
        <v>0.435</v>
      </c>
      <c r="J10" s="285">
        <v>0.44700000000000001</v>
      </c>
      <c r="K10" s="285">
        <v>0.42699999999999999</v>
      </c>
      <c r="L10" s="74"/>
    </row>
    <row r="11" spans="1:12" ht="19" x14ac:dyDescent="0.25">
      <c r="A11" s="280" t="s">
        <v>240</v>
      </c>
      <c r="B11" s="287">
        <v>-10469</v>
      </c>
      <c r="C11" s="287">
        <v>-10563</v>
      </c>
      <c r="D11" s="287">
        <v>-11511</v>
      </c>
      <c r="E11" s="287">
        <v>-12702</v>
      </c>
      <c r="F11" s="287">
        <v>-13126</v>
      </c>
      <c r="G11" s="287">
        <v>-12770</v>
      </c>
      <c r="H11" s="287">
        <v>-14804</v>
      </c>
      <c r="I11" s="287">
        <v>-16377</v>
      </c>
      <c r="J11" s="287">
        <v>-16197</v>
      </c>
      <c r="K11" s="287">
        <v>-16088</v>
      </c>
      <c r="L11" s="74"/>
    </row>
    <row r="12" spans="1:12" ht="19" x14ac:dyDescent="0.25">
      <c r="A12" s="280" t="s">
        <v>241</v>
      </c>
      <c r="B12" s="288"/>
      <c r="C12" s="288"/>
      <c r="D12" s="288"/>
      <c r="E12" s="288"/>
      <c r="F12" s="288"/>
      <c r="G12" s="288"/>
      <c r="H12" s="288"/>
      <c r="I12" s="288"/>
      <c r="J12" s="288"/>
      <c r="K12" s="288"/>
      <c r="L12" s="74"/>
    </row>
    <row r="13" spans="1:12" ht="19" x14ac:dyDescent="0.25">
      <c r="A13" s="282" t="s">
        <v>242</v>
      </c>
      <c r="B13" s="289">
        <v>-10469</v>
      </c>
      <c r="C13" s="289">
        <v>-10563</v>
      </c>
      <c r="D13" s="289">
        <v>-11511</v>
      </c>
      <c r="E13" s="289">
        <v>-12702</v>
      </c>
      <c r="F13" s="289">
        <v>-13126</v>
      </c>
      <c r="G13" s="289">
        <v>-12770</v>
      </c>
      <c r="H13" s="289">
        <v>-14804</v>
      </c>
      <c r="I13" s="289">
        <v>-16377</v>
      </c>
      <c r="J13" s="289">
        <v>-16197</v>
      </c>
      <c r="K13" s="289">
        <v>-16088</v>
      </c>
      <c r="L13" s="74"/>
    </row>
    <row r="14" spans="1:12" ht="19" x14ac:dyDescent="0.25">
      <c r="A14" s="282" t="s">
        <v>243</v>
      </c>
      <c r="B14" s="283">
        <v>4502</v>
      </c>
      <c r="C14" s="283">
        <v>4749</v>
      </c>
      <c r="D14" s="283">
        <v>4445</v>
      </c>
      <c r="E14" s="283">
        <v>4772</v>
      </c>
      <c r="F14" s="283">
        <v>3115</v>
      </c>
      <c r="G14" s="283">
        <v>7231</v>
      </c>
      <c r="H14" s="283">
        <v>6675</v>
      </c>
      <c r="I14" s="283">
        <v>5915</v>
      </c>
      <c r="J14" s="283">
        <v>6754</v>
      </c>
      <c r="K14" s="283">
        <v>3702</v>
      </c>
      <c r="L14" s="74"/>
    </row>
    <row r="15" spans="1:12" ht="19" x14ac:dyDescent="0.25">
      <c r="A15" s="284" t="s">
        <v>236</v>
      </c>
      <c r="B15" s="285">
        <v>7.8E-2</v>
      </c>
      <c r="C15" s="285">
        <v>5.5E-2</v>
      </c>
      <c r="D15" s="286">
        <v>-6.4000000000000001E-2</v>
      </c>
      <c r="E15" s="285">
        <v>7.3999999999999996E-2</v>
      </c>
      <c r="F15" s="286">
        <v>-0.34699999999999998</v>
      </c>
      <c r="G15" s="285">
        <v>1.321</v>
      </c>
      <c r="H15" s="286">
        <v>-7.6999999999999999E-2</v>
      </c>
      <c r="I15" s="286">
        <v>-0.114</v>
      </c>
      <c r="J15" s="285">
        <v>0.14199999999999999</v>
      </c>
      <c r="K15" s="286">
        <v>-0.45200000000000001</v>
      </c>
      <c r="L15" s="74"/>
    </row>
    <row r="16" spans="1:12" ht="19" x14ac:dyDescent="0.25">
      <c r="A16" s="284" t="s">
        <v>244</v>
      </c>
      <c r="B16" s="285">
        <v>0.13900000000000001</v>
      </c>
      <c r="C16" s="285">
        <v>0.13800000000000001</v>
      </c>
      <c r="D16" s="285">
        <v>0.122</v>
      </c>
      <c r="E16" s="285">
        <v>0.122</v>
      </c>
      <c r="F16" s="285">
        <v>8.3000000000000004E-2</v>
      </c>
      <c r="G16" s="285">
        <v>0.16200000000000001</v>
      </c>
      <c r="H16" s="285">
        <v>0.14299999999999999</v>
      </c>
      <c r="I16" s="285">
        <v>0.115</v>
      </c>
      <c r="J16" s="285">
        <v>0.13100000000000001</v>
      </c>
      <c r="K16" s="285">
        <v>0.08</v>
      </c>
      <c r="L16" s="74"/>
    </row>
    <row r="17" spans="1:12" ht="19" x14ac:dyDescent="0.25">
      <c r="A17" s="280" t="s">
        <v>245</v>
      </c>
      <c r="B17" s="290">
        <v>-31</v>
      </c>
      <c r="C17" s="290">
        <v>-86</v>
      </c>
      <c r="D17" s="290">
        <v>-124</v>
      </c>
      <c r="E17" s="290">
        <v>-131</v>
      </c>
      <c r="F17" s="290">
        <v>-151</v>
      </c>
      <c r="G17" s="290">
        <v>-296</v>
      </c>
      <c r="H17" s="290">
        <v>-299</v>
      </c>
      <c r="I17" s="290">
        <v>-291</v>
      </c>
      <c r="J17" s="290">
        <v>-269</v>
      </c>
      <c r="K17" s="290">
        <v>-297</v>
      </c>
      <c r="L17" s="74"/>
    </row>
    <row r="18" spans="1:12" ht="19" x14ac:dyDescent="0.25">
      <c r="A18" s="280" t="s">
        <v>246</v>
      </c>
      <c r="B18" s="291">
        <v>12</v>
      </c>
      <c r="C18" s="291">
        <v>27</v>
      </c>
      <c r="D18" s="291">
        <v>70</v>
      </c>
      <c r="E18" s="291">
        <v>82</v>
      </c>
      <c r="F18" s="291">
        <v>62</v>
      </c>
      <c r="G18" s="291">
        <v>34</v>
      </c>
      <c r="H18" s="291">
        <v>94</v>
      </c>
      <c r="I18" s="291">
        <v>297</v>
      </c>
      <c r="J18" s="291">
        <v>430</v>
      </c>
      <c r="K18" s="291">
        <v>404</v>
      </c>
      <c r="L18" s="74"/>
    </row>
    <row r="19" spans="1:12" ht="19" x14ac:dyDescent="0.25">
      <c r="A19" s="280" t="s">
        <v>247</v>
      </c>
      <c r="B19" s="291">
        <v>151</v>
      </c>
      <c r="C19" s="290">
        <v>-59</v>
      </c>
      <c r="D19" s="290">
        <v>-110</v>
      </c>
      <c r="E19" s="290">
        <v>-97</v>
      </c>
      <c r="F19" s="290">
        <v>-91</v>
      </c>
      <c r="G19" s="291">
        <v>19</v>
      </c>
      <c r="H19" s="291">
        <v>168</v>
      </c>
      <c r="I19" s="291">
        <v>366</v>
      </c>
      <c r="J19" s="291">
        <v>228</v>
      </c>
      <c r="K19" s="291">
        <v>147</v>
      </c>
      <c r="L19" s="74"/>
    </row>
    <row r="20" spans="1:12" ht="19" x14ac:dyDescent="0.25">
      <c r="A20" s="280" t="s">
        <v>248</v>
      </c>
      <c r="B20" s="290">
        <v>-11</v>
      </c>
      <c r="C20" s="291">
        <v>255</v>
      </c>
      <c r="D20" s="291">
        <v>44</v>
      </c>
      <c r="E20" s="291">
        <v>175</v>
      </c>
      <c r="F20" s="290">
        <v>-48</v>
      </c>
      <c r="G20" s="290">
        <v>-33</v>
      </c>
      <c r="H20" s="291">
        <v>13</v>
      </c>
      <c r="I20" s="290">
        <v>-86</v>
      </c>
      <c r="J20" s="288"/>
      <c r="K20" s="291">
        <v>21</v>
      </c>
      <c r="L20" s="74"/>
    </row>
    <row r="21" spans="1:12" ht="19" x14ac:dyDescent="0.25">
      <c r="A21" s="282" t="s">
        <v>249</v>
      </c>
      <c r="B21" s="283">
        <v>4623</v>
      </c>
      <c r="C21" s="283">
        <v>4886</v>
      </c>
      <c r="D21" s="283">
        <v>4325</v>
      </c>
      <c r="E21" s="283">
        <v>4801</v>
      </c>
      <c r="F21" s="283">
        <v>2887</v>
      </c>
      <c r="G21" s="283">
        <v>6955</v>
      </c>
      <c r="H21" s="283">
        <v>6651</v>
      </c>
      <c r="I21" s="283">
        <v>6201</v>
      </c>
      <c r="J21" s="283">
        <v>7143</v>
      </c>
      <c r="K21" s="283">
        <v>3977</v>
      </c>
      <c r="L21" s="74"/>
    </row>
    <row r="22" spans="1:12" ht="19" x14ac:dyDescent="0.25">
      <c r="A22" s="280" t="s">
        <v>250</v>
      </c>
      <c r="B22" s="288"/>
      <c r="C22" s="288"/>
      <c r="D22" s="288"/>
      <c r="E22" s="288"/>
      <c r="F22" s="288"/>
      <c r="G22" s="290">
        <v>-294</v>
      </c>
      <c r="H22" s="288"/>
      <c r="I22" s="288"/>
      <c r="J22" s="290">
        <v>-443</v>
      </c>
      <c r="K22" s="288"/>
      <c r="L22" s="74"/>
    </row>
    <row r="23" spans="1:12" ht="19" x14ac:dyDescent="0.25">
      <c r="A23" s="280" t="s">
        <v>251</v>
      </c>
      <c r="B23" s="288"/>
      <c r="C23" s="288"/>
      <c r="D23" s="288"/>
      <c r="E23" s="288"/>
      <c r="F23" s="288"/>
      <c r="G23" s="288"/>
      <c r="H23" s="288"/>
      <c r="I23" s="288"/>
      <c r="J23" s="288"/>
      <c r="K23" s="288"/>
      <c r="L23" s="74"/>
    </row>
    <row r="24" spans="1:12" ht="19" x14ac:dyDescent="0.25">
      <c r="A24" s="280" t="s">
        <v>252</v>
      </c>
      <c r="B24" s="288"/>
      <c r="C24" s="288"/>
      <c r="D24" s="288"/>
      <c r="E24" s="288"/>
      <c r="F24" s="288"/>
      <c r="G24" s="288"/>
      <c r="H24" s="288"/>
      <c r="I24" s="288"/>
      <c r="J24" s="288"/>
      <c r="K24" s="288"/>
      <c r="L24" s="74"/>
    </row>
    <row r="25" spans="1:12" ht="19" x14ac:dyDescent="0.25">
      <c r="A25" s="280" t="s">
        <v>253</v>
      </c>
      <c r="B25" s="288"/>
      <c r="C25" s="288"/>
      <c r="D25" s="288"/>
      <c r="E25" s="288"/>
      <c r="F25" s="288"/>
      <c r="G25" s="288"/>
      <c r="H25" s="288"/>
      <c r="I25" s="288"/>
      <c r="J25" s="288"/>
      <c r="K25" s="288"/>
      <c r="L25" s="74"/>
    </row>
    <row r="26" spans="1:12" ht="19" x14ac:dyDescent="0.25">
      <c r="A26" s="280" t="s">
        <v>254</v>
      </c>
      <c r="B26" s="288"/>
      <c r="C26" s="288"/>
      <c r="D26" s="288"/>
      <c r="E26" s="288"/>
      <c r="F26" s="288"/>
      <c r="G26" s="288"/>
      <c r="H26" s="288"/>
      <c r="I26" s="288"/>
      <c r="J26" s="288"/>
      <c r="K26" s="290">
        <v>-92</v>
      </c>
      <c r="L26" s="74"/>
    </row>
    <row r="27" spans="1:12" ht="19" x14ac:dyDescent="0.25">
      <c r="A27" s="282" t="s">
        <v>255</v>
      </c>
      <c r="B27" s="283">
        <v>4623</v>
      </c>
      <c r="C27" s="283">
        <v>4886</v>
      </c>
      <c r="D27" s="283">
        <v>4325</v>
      </c>
      <c r="E27" s="283">
        <v>4801</v>
      </c>
      <c r="F27" s="283">
        <v>2887</v>
      </c>
      <c r="G27" s="283">
        <v>6661</v>
      </c>
      <c r="H27" s="283">
        <v>6651</v>
      </c>
      <c r="I27" s="283">
        <v>6201</v>
      </c>
      <c r="J27" s="283">
        <v>6700</v>
      </c>
      <c r="K27" s="283">
        <v>3885</v>
      </c>
      <c r="L27" s="74"/>
    </row>
    <row r="28" spans="1:12" ht="19" x14ac:dyDescent="0.25">
      <c r="A28" s="280" t="s">
        <v>256</v>
      </c>
      <c r="B28" s="290">
        <v>-863</v>
      </c>
      <c r="C28" s="290">
        <v>-646</v>
      </c>
      <c r="D28" s="287">
        <v>-2392</v>
      </c>
      <c r="E28" s="290">
        <v>-772</v>
      </c>
      <c r="F28" s="290">
        <v>-348</v>
      </c>
      <c r="G28" s="290">
        <v>-934</v>
      </c>
      <c r="H28" s="290">
        <v>-605</v>
      </c>
      <c r="I28" s="287">
        <v>-1131</v>
      </c>
      <c r="J28" s="287">
        <v>-1000</v>
      </c>
      <c r="K28" s="290">
        <v>-666</v>
      </c>
      <c r="L28" s="74"/>
    </row>
    <row r="29" spans="1:12" ht="19" x14ac:dyDescent="0.25">
      <c r="A29" s="282" t="s">
        <v>257</v>
      </c>
      <c r="B29" s="283">
        <v>3760</v>
      </c>
      <c r="C29" s="283">
        <v>4240</v>
      </c>
      <c r="D29" s="283">
        <v>1933</v>
      </c>
      <c r="E29" s="283">
        <v>4029</v>
      </c>
      <c r="F29" s="283">
        <v>2539</v>
      </c>
      <c r="G29" s="283">
        <v>5727</v>
      </c>
      <c r="H29" s="283">
        <v>6046</v>
      </c>
      <c r="I29" s="283">
        <v>5070</v>
      </c>
      <c r="J29" s="283">
        <v>5700</v>
      </c>
      <c r="K29" s="283">
        <v>3219</v>
      </c>
      <c r="L29" s="74"/>
    </row>
    <row r="30" spans="1:12" ht="19" x14ac:dyDescent="0.25">
      <c r="A30" s="280" t="s">
        <v>258</v>
      </c>
      <c r="B30" s="288"/>
      <c r="C30" s="288"/>
      <c r="D30" s="288"/>
      <c r="E30" s="288"/>
      <c r="F30" s="288"/>
      <c r="G30" s="288"/>
      <c r="H30" s="288"/>
      <c r="I30" s="288"/>
      <c r="J30" s="288"/>
      <c r="K30" s="288"/>
      <c r="L30" s="74"/>
    </row>
    <row r="31" spans="1:12" ht="19" x14ac:dyDescent="0.25">
      <c r="A31" s="280" t="s">
        <v>259</v>
      </c>
      <c r="B31" s="288"/>
      <c r="C31" s="288"/>
      <c r="D31" s="288"/>
      <c r="E31" s="288"/>
      <c r="F31" s="288"/>
      <c r="G31" s="288"/>
      <c r="H31" s="288"/>
      <c r="I31" s="288"/>
      <c r="J31" s="288"/>
      <c r="K31" s="288"/>
      <c r="L31" s="74"/>
    </row>
    <row r="32" spans="1:12" ht="19" x14ac:dyDescent="0.25">
      <c r="A32" s="282" t="s">
        <v>260</v>
      </c>
      <c r="B32" s="283">
        <v>3760</v>
      </c>
      <c r="C32" s="283">
        <v>4240</v>
      </c>
      <c r="D32" s="283">
        <v>1933</v>
      </c>
      <c r="E32" s="283">
        <v>4029</v>
      </c>
      <c r="F32" s="283">
        <v>2539</v>
      </c>
      <c r="G32" s="283">
        <v>5727</v>
      </c>
      <c r="H32" s="283">
        <v>6046</v>
      </c>
      <c r="I32" s="283">
        <v>5070</v>
      </c>
      <c r="J32" s="283">
        <v>5700</v>
      </c>
      <c r="K32" s="283">
        <v>3219</v>
      </c>
      <c r="L32" s="74"/>
    </row>
    <row r="33" spans="1:12" ht="19" x14ac:dyDescent="0.25">
      <c r="A33" s="282" t="s">
        <v>1</v>
      </c>
      <c r="B33" s="283">
        <v>3760</v>
      </c>
      <c r="C33" s="283">
        <v>4240</v>
      </c>
      <c r="D33" s="283">
        <v>1933</v>
      </c>
      <c r="E33" s="283">
        <v>4029</v>
      </c>
      <c r="F33" s="283">
        <v>2539</v>
      </c>
      <c r="G33" s="283">
        <v>5727</v>
      </c>
      <c r="H33" s="283">
        <v>6046</v>
      </c>
      <c r="I33" s="283">
        <v>5070</v>
      </c>
      <c r="J33" s="283">
        <v>5700</v>
      </c>
      <c r="K33" s="283">
        <v>3219</v>
      </c>
      <c r="L33" s="74"/>
    </row>
    <row r="34" spans="1:12" ht="19" x14ac:dyDescent="0.25">
      <c r="A34" s="280" t="s">
        <v>261</v>
      </c>
      <c r="B34" s="288"/>
      <c r="C34" s="288"/>
      <c r="D34" s="288"/>
      <c r="E34" s="288"/>
      <c r="F34" s="288"/>
      <c r="G34" s="288"/>
      <c r="H34" s="288"/>
      <c r="I34" s="288"/>
      <c r="J34" s="288"/>
      <c r="K34" s="288"/>
      <c r="L34" s="74"/>
    </row>
    <row r="35" spans="1:12" ht="19" x14ac:dyDescent="0.25">
      <c r="A35" s="282" t="s">
        <v>262</v>
      </c>
      <c r="B35" s="283">
        <v>3760</v>
      </c>
      <c r="C35" s="283">
        <v>4240</v>
      </c>
      <c r="D35" s="283">
        <v>1933</v>
      </c>
      <c r="E35" s="283">
        <v>4029</v>
      </c>
      <c r="F35" s="283">
        <v>2539</v>
      </c>
      <c r="G35" s="283">
        <v>5727</v>
      </c>
      <c r="H35" s="283">
        <v>6046</v>
      </c>
      <c r="I35" s="283">
        <v>5070</v>
      </c>
      <c r="J35" s="283">
        <v>5700</v>
      </c>
      <c r="K35" s="283">
        <v>3219</v>
      </c>
      <c r="L35" s="74"/>
    </row>
    <row r="36" spans="1:12" ht="19" x14ac:dyDescent="0.25">
      <c r="A36" s="284" t="s">
        <v>263</v>
      </c>
      <c r="B36" s="285">
        <v>0.11600000000000001</v>
      </c>
      <c r="C36" s="285">
        <v>0.123</v>
      </c>
      <c r="D36" s="285">
        <v>5.2999999999999999E-2</v>
      </c>
      <c r="E36" s="285">
        <v>0.10299999999999999</v>
      </c>
      <c r="F36" s="285">
        <v>6.8000000000000005E-2</v>
      </c>
      <c r="G36" s="285">
        <v>0.129</v>
      </c>
      <c r="H36" s="285">
        <v>0.129</v>
      </c>
      <c r="I36" s="285">
        <v>9.9000000000000005E-2</v>
      </c>
      <c r="J36" s="285">
        <v>0.111</v>
      </c>
      <c r="K36" s="285">
        <v>7.0000000000000007E-2</v>
      </c>
      <c r="L36" s="74"/>
    </row>
    <row r="37" spans="1:12" ht="19" x14ac:dyDescent="0.25">
      <c r="A37" s="282" t="s">
        <v>264</v>
      </c>
      <c r="B37" s="283">
        <v>3760</v>
      </c>
      <c r="C37" s="283">
        <v>4240</v>
      </c>
      <c r="D37" s="283">
        <v>1933</v>
      </c>
      <c r="E37" s="283">
        <v>4029</v>
      </c>
      <c r="F37" s="283">
        <v>2539</v>
      </c>
      <c r="G37" s="283">
        <v>5727</v>
      </c>
      <c r="H37" s="283">
        <v>6046</v>
      </c>
      <c r="I37" s="283">
        <v>5070</v>
      </c>
      <c r="J37" s="283">
        <v>5700</v>
      </c>
      <c r="K37" s="283">
        <v>3219</v>
      </c>
      <c r="L37" s="74"/>
    </row>
    <row r="38" spans="1:12" ht="19" x14ac:dyDescent="0.25">
      <c r="A38" s="284" t="s">
        <v>265</v>
      </c>
      <c r="B38" s="285">
        <v>0.11600000000000001</v>
      </c>
      <c r="C38" s="285">
        <v>0.123</v>
      </c>
      <c r="D38" s="285">
        <v>5.2999999999999999E-2</v>
      </c>
      <c r="E38" s="285">
        <v>0.10299999999999999</v>
      </c>
      <c r="F38" s="285">
        <v>6.8000000000000005E-2</v>
      </c>
      <c r="G38" s="285">
        <v>0.129</v>
      </c>
      <c r="H38" s="285">
        <v>0.129</v>
      </c>
      <c r="I38" s="285">
        <v>9.9000000000000005E-2</v>
      </c>
      <c r="J38" s="285">
        <v>0.111</v>
      </c>
      <c r="K38" s="285">
        <v>7.0000000000000007E-2</v>
      </c>
      <c r="L38" s="74"/>
    </row>
    <row r="39" spans="1:12" ht="19" x14ac:dyDescent="0.25">
      <c r="A39" s="284" t="s">
        <v>266</v>
      </c>
      <c r="B39"/>
      <c r="C39"/>
      <c r="D39"/>
      <c r="E39"/>
      <c r="F39"/>
      <c r="G39"/>
      <c r="H39"/>
      <c r="I39"/>
      <c r="J39"/>
      <c r="K39"/>
      <c r="L39" s="74"/>
    </row>
    <row r="40" spans="1:12" ht="19" x14ac:dyDescent="0.25">
      <c r="A40" s="280" t="s">
        <v>267</v>
      </c>
      <c r="B40" s="291">
        <v>2.16</v>
      </c>
      <c r="C40" s="291">
        <v>2.5099999999999998</v>
      </c>
      <c r="D40" s="291">
        <v>1.17</v>
      </c>
      <c r="E40" s="291">
        <v>2.4900000000000002</v>
      </c>
      <c r="F40" s="291">
        <v>1.6</v>
      </c>
      <c r="G40" s="291">
        <v>3.56</v>
      </c>
      <c r="H40" s="291">
        <v>3.75</v>
      </c>
      <c r="I40" s="291">
        <v>3.23</v>
      </c>
      <c r="J40" s="291">
        <v>3.73</v>
      </c>
      <c r="K40" s="291">
        <v>2.16</v>
      </c>
      <c r="L40" s="74"/>
    </row>
    <row r="41" spans="1:12" ht="19" x14ac:dyDescent="0.25">
      <c r="A41" s="292" t="s">
        <v>236</v>
      </c>
      <c r="B41" s="293">
        <v>0.16800000000000001</v>
      </c>
      <c r="C41" s="293">
        <v>0.16200000000000001</v>
      </c>
      <c r="D41" s="294">
        <v>-0.53400000000000003</v>
      </c>
      <c r="E41" s="293">
        <v>1.1279999999999999</v>
      </c>
      <c r="F41" s="294">
        <v>-0.35699999999999998</v>
      </c>
      <c r="G41" s="293">
        <v>1.2250000000000001</v>
      </c>
      <c r="H41" s="293">
        <v>5.2999999999999999E-2</v>
      </c>
      <c r="I41" s="294">
        <v>-0.13900000000000001</v>
      </c>
      <c r="J41" s="293">
        <v>0.155</v>
      </c>
      <c r="K41" s="294">
        <v>-0.42099999999999999</v>
      </c>
      <c r="L41" s="74"/>
    </row>
    <row r="42" spans="1:12" ht="19" x14ac:dyDescent="0.25">
      <c r="A42" s="280" t="s">
        <v>268</v>
      </c>
      <c r="B42" s="281">
        <v>1742.5</v>
      </c>
      <c r="C42" s="281">
        <v>1692</v>
      </c>
      <c r="D42" s="281">
        <v>1659.1</v>
      </c>
      <c r="E42" s="281">
        <v>1618.4</v>
      </c>
      <c r="F42" s="281">
        <v>1591.6</v>
      </c>
      <c r="G42" s="281">
        <v>1609.4</v>
      </c>
      <c r="H42" s="281">
        <v>1610.8</v>
      </c>
      <c r="I42" s="281">
        <v>1569.8</v>
      </c>
      <c r="J42" s="281">
        <v>1529.7</v>
      </c>
      <c r="K42" s="281">
        <v>1487.6</v>
      </c>
      <c r="L42" s="74"/>
    </row>
    <row r="43" spans="1:12" ht="19" x14ac:dyDescent="0.25">
      <c r="A43" s="292" t="s">
        <v>236</v>
      </c>
      <c r="B43" s="294">
        <v>-1.4999999999999999E-2</v>
      </c>
      <c r="C43" s="294">
        <v>-2.9000000000000001E-2</v>
      </c>
      <c r="D43" s="294">
        <v>-1.9E-2</v>
      </c>
      <c r="E43" s="294">
        <v>-2.5000000000000001E-2</v>
      </c>
      <c r="F43" s="294">
        <v>-1.7000000000000001E-2</v>
      </c>
      <c r="G43" s="293">
        <v>1.0999999999999999E-2</v>
      </c>
      <c r="H43" s="293">
        <v>1E-3</v>
      </c>
      <c r="I43" s="294">
        <v>-2.5000000000000001E-2</v>
      </c>
      <c r="J43" s="294">
        <v>-2.5999999999999999E-2</v>
      </c>
      <c r="K43" s="294">
        <v>-2.8000000000000001E-2</v>
      </c>
      <c r="L43" s="74"/>
    </row>
    <row r="44" spans="1:12" ht="19" x14ac:dyDescent="0.25">
      <c r="A44" s="280" t="s">
        <v>269</v>
      </c>
      <c r="B44" s="281">
        <v>1697.9</v>
      </c>
      <c r="C44" s="281">
        <v>1657.8</v>
      </c>
      <c r="D44" s="281">
        <v>1623.8</v>
      </c>
      <c r="E44" s="281">
        <v>1579.7</v>
      </c>
      <c r="F44" s="281">
        <v>1558.8</v>
      </c>
      <c r="G44" s="281">
        <v>1573</v>
      </c>
      <c r="H44" s="281">
        <v>1578.8</v>
      </c>
      <c r="I44" s="281">
        <v>1551.6</v>
      </c>
      <c r="J44" s="281">
        <v>1517.6</v>
      </c>
      <c r="K44" s="281">
        <v>1484.9</v>
      </c>
      <c r="L44" s="74"/>
    </row>
    <row r="45" spans="1:12" ht="19" x14ac:dyDescent="0.25">
      <c r="A45" s="292" t="s">
        <v>236</v>
      </c>
      <c r="B45" s="294">
        <v>-1.4999999999999999E-2</v>
      </c>
      <c r="C45" s="294">
        <v>-2.4E-2</v>
      </c>
      <c r="D45" s="294">
        <v>-2.1000000000000001E-2</v>
      </c>
      <c r="E45" s="294">
        <v>-2.7E-2</v>
      </c>
      <c r="F45" s="294">
        <v>-1.2999999999999999E-2</v>
      </c>
      <c r="G45" s="293">
        <v>8.9999999999999993E-3</v>
      </c>
      <c r="H45" s="293">
        <v>4.0000000000000001E-3</v>
      </c>
      <c r="I45" s="294">
        <v>-1.7000000000000001E-2</v>
      </c>
      <c r="J45" s="294">
        <v>-2.1999999999999999E-2</v>
      </c>
      <c r="K45" s="294">
        <v>-2.1999999999999999E-2</v>
      </c>
      <c r="L45" s="74"/>
    </row>
    <row r="46" spans="1:12" ht="19" x14ac:dyDescent="0.25">
      <c r="A46" s="280" t="s">
        <v>270</v>
      </c>
      <c r="B46" s="291">
        <v>0.62</v>
      </c>
      <c r="C46" s="291">
        <v>0.7</v>
      </c>
      <c r="D46" s="291">
        <v>0.78</v>
      </c>
      <c r="E46" s="291">
        <v>0.86</v>
      </c>
      <c r="F46" s="291">
        <v>0.96</v>
      </c>
      <c r="G46" s="291">
        <v>1.07</v>
      </c>
      <c r="H46" s="291">
        <v>1.19</v>
      </c>
      <c r="I46" s="291">
        <v>1.33</v>
      </c>
      <c r="J46" s="291">
        <v>1.45</v>
      </c>
      <c r="K46" s="291">
        <v>1.57</v>
      </c>
      <c r="L46" s="74"/>
    </row>
    <row r="47" spans="1:12" ht="19" x14ac:dyDescent="0.25">
      <c r="A47" s="292" t="s">
        <v>236</v>
      </c>
      <c r="B47" s="293">
        <v>0.14799999999999999</v>
      </c>
      <c r="C47" s="293">
        <v>0.129</v>
      </c>
      <c r="D47" s="293">
        <v>0.114</v>
      </c>
      <c r="E47" s="293">
        <v>0.10299999999999999</v>
      </c>
      <c r="F47" s="293">
        <v>0.11</v>
      </c>
      <c r="G47" s="293">
        <v>0.12</v>
      </c>
      <c r="H47" s="293">
        <v>0.112</v>
      </c>
      <c r="I47" s="293">
        <v>0.113</v>
      </c>
      <c r="J47" s="293">
        <v>9.4E-2</v>
      </c>
      <c r="K47" s="293">
        <v>8.3000000000000004E-2</v>
      </c>
      <c r="L47" s="74"/>
    </row>
    <row r="48" spans="1:12" ht="19" x14ac:dyDescent="0.25">
      <c r="A48" s="280" t="s">
        <v>271</v>
      </c>
      <c r="B48" s="295">
        <v>0.27200000000000002</v>
      </c>
      <c r="C48" s="295">
        <v>0.26700000000000002</v>
      </c>
      <c r="D48" s="295">
        <v>0.64300000000000002</v>
      </c>
      <c r="E48" s="295">
        <v>0.33100000000000002</v>
      </c>
      <c r="F48" s="295">
        <v>0.57199999999999995</v>
      </c>
      <c r="G48" s="295">
        <v>0.28599999999999998</v>
      </c>
      <c r="H48" s="295">
        <v>0.30399999999999999</v>
      </c>
      <c r="I48" s="295">
        <v>0.39700000000000002</v>
      </c>
      <c r="J48" s="295">
        <v>0.38100000000000001</v>
      </c>
      <c r="K48" s="295">
        <v>0.71499999999999997</v>
      </c>
      <c r="L48" s="74"/>
    </row>
    <row r="49" spans="1:12" ht="19" x14ac:dyDescent="0.25">
      <c r="A49" s="280" t="s">
        <v>272</v>
      </c>
      <c r="B49" s="291">
        <v>2.21</v>
      </c>
      <c r="C49" s="291">
        <v>2.56</v>
      </c>
      <c r="D49" s="291">
        <v>1.19</v>
      </c>
      <c r="E49" s="291">
        <v>2.5499999999999998</v>
      </c>
      <c r="F49" s="291">
        <v>1.63</v>
      </c>
      <c r="G49" s="291">
        <v>3.64</v>
      </c>
      <c r="H49" s="291">
        <v>3.83</v>
      </c>
      <c r="I49" s="291">
        <v>3.27</v>
      </c>
      <c r="J49" s="291">
        <v>3.76</v>
      </c>
      <c r="K49" s="291">
        <v>2.17</v>
      </c>
      <c r="L49" s="74"/>
    </row>
    <row r="50" spans="1:12" ht="19" x14ac:dyDescent="0.25">
      <c r="A50" s="280" t="s">
        <v>273</v>
      </c>
      <c r="B50" s="281">
        <v>5164</v>
      </c>
      <c r="C50" s="281">
        <v>5465</v>
      </c>
      <c r="D50" s="281">
        <v>5219</v>
      </c>
      <c r="E50" s="281">
        <v>5492</v>
      </c>
      <c r="F50" s="281">
        <v>4234</v>
      </c>
      <c r="G50" s="281">
        <v>8028</v>
      </c>
      <c r="H50" s="281">
        <v>7515</v>
      </c>
      <c r="I50" s="281">
        <v>6618</v>
      </c>
      <c r="J50" s="281">
        <v>7550</v>
      </c>
      <c r="K50" s="281">
        <v>4477</v>
      </c>
      <c r="L50" s="74"/>
    </row>
    <row r="51" spans="1:12" ht="19" x14ac:dyDescent="0.25">
      <c r="A51" s="292" t="s">
        <v>236</v>
      </c>
      <c r="B51" s="293">
        <v>7.0000000000000007E-2</v>
      </c>
      <c r="C51" s="293">
        <v>5.8000000000000003E-2</v>
      </c>
      <c r="D51" s="294">
        <v>-4.4999999999999998E-2</v>
      </c>
      <c r="E51" s="293">
        <v>5.1999999999999998E-2</v>
      </c>
      <c r="F51" s="294">
        <v>-0.22900000000000001</v>
      </c>
      <c r="G51" s="293">
        <v>0.89600000000000002</v>
      </c>
      <c r="H51" s="294">
        <v>-6.4000000000000001E-2</v>
      </c>
      <c r="I51" s="294">
        <v>-0.11899999999999999</v>
      </c>
      <c r="J51" s="293">
        <v>0.14099999999999999</v>
      </c>
      <c r="K51" s="294">
        <v>-0.40699999999999997</v>
      </c>
      <c r="L51" s="74"/>
    </row>
    <row r="52" spans="1:12" ht="19" x14ac:dyDescent="0.25">
      <c r="A52" s="280" t="s">
        <v>274</v>
      </c>
      <c r="B52" s="281">
        <v>5825</v>
      </c>
      <c r="C52" s="281">
        <v>6196</v>
      </c>
      <c r="D52" s="281">
        <v>6039</v>
      </c>
      <c r="E52" s="281">
        <v>6321</v>
      </c>
      <c r="F52" s="281">
        <v>5140</v>
      </c>
      <c r="G52" s="281">
        <v>8964</v>
      </c>
      <c r="H52" s="281">
        <v>8474</v>
      </c>
      <c r="I52" s="281">
        <v>7606</v>
      </c>
      <c r="J52" s="281">
        <v>8601</v>
      </c>
      <c r="K52" s="281">
        <v>5572</v>
      </c>
      <c r="L52" s="74"/>
    </row>
    <row r="53" spans="1:12" ht="19" x14ac:dyDescent="0.25">
      <c r="A53" s="280" t="s">
        <v>275</v>
      </c>
      <c r="B53" s="288"/>
      <c r="C53" s="288"/>
      <c r="D53" s="288"/>
      <c r="E53" s="288"/>
      <c r="F53" s="288"/>
      <c r="G53" s="288"/>
      <c r="H53" s="288"/>
      <c r="I53" s="288"/>
      <c r="J53" s="288"/>
      <c r="K53" s="288"/>
      <c r="L53" s="74"/>
    </row>
    <row r="54" spans="1:12" ht="19" x14ac:dyDescent="0.25">
      <c r="A54" s="280" t="s">
        <v>276</v>
      </c>
      <c r="B54" s="281">
        <v>3278</v>
      </c>
      <c r="C54" s="281">
        <v>3341</v>
      </c>
      <c r="D54" s="281">
        <v>3577</v>
      </c>
      <c r="E54" s="281">
        <v>3753</v>
      </c>
      <c r="F54" s="281">
        <v>3592</v>
      </c>
      <c r="G54" s="281">
        <v>3114</v>
      </c>
      <c r="H54" s="281">
        <v>3850</v>
      </c>
      <c r="I54" s="281">
        <v>4060</v>
      </c>
      <c r="J54" s="281">
        <v>4285</v>
      </c>
      <c r="K54" s="281">
        <v>4689</v>
      </c>
      <c r="L54" s="74"/>
    </row>
    <row r="55" spans="1:12" ht="19" x14ac:dyDescent="0.25">
      <c r="A55" s="280" t="s">
        <v>277</v>
      </c>
      <c r="B55" s="295">
        <v>0.187</v>
      </c>
      <c r="C55" s="295">
        <v>0.13200000000000001</v>
      </c>
      <c r="D55" s="295">
        <v>0.55300000000000005</v>
      </c>
      <c r="E55" s="295">
        <v>0.161</v>
      </c>
      <c r="F55" s="295">
        <v>0.121</v>
      </c>
      <c r="G55" s="295">
        <v>0.14000000000000001</v>
      </c>
      <c r="H55" s="295">
        <v>9.0999999999999998E-2</v>
      </c>
      <c r="I55" s="295">
        <v>0.182</v>
      </c>
      <c r="J55" s="295">
        <v>0.14899999999999999</v>
      </c>
      <c r="K55" s="295">
        <v>0.17100000000000001</v>
      </c>
      <c r="L55" s="74"/>
    </row>
    <row r="56" spans="1:12" ht="19" x14ac:dyDescent="0.25">
      <c r="A56" s="280" t="s">
        <v>278</v>
      </c>
      <c r="B56" s="288"/>
      <c r="C56" s="288"/>
      <c r="D56" s="288"/>
      <c r="E56" s="288"/>
      <c r="F56" s="288"/>
      <c r="G56" s="288"/>
      <c r="H56" s="288"/>
      <c r="I56" s="288"/>
      <c r="J56" s="288"/>
      <c r="K56" s="296">
        <v>-0.01</v>
      </c>
      <c r="L56" s="74"/>
    </row>
    <row r="57" spans="1:12" ht="19" x14ac:dyDescent="0.25">
      <c r="A57" s="284" t="s">
        <v>279</v>
      </c>
      <c r="B57"/>
      <c r="C57"/>
      <c r="D57"/>
      <c r="E57"/>
      <c r="F57"/>
      <c r="G57"/>
      <c r="H57"/>
      <c r="I57"/>
      <c r="J57"/>
      <c r="K57"/>
      <c r="L57" s="74"/>
    </row>
    <row r="58" spans="1:12" ht="19" x14ac:dyDescent="0.25">
      <c r="A58" s="280" t="s">
        <v>280</v>
      </c>
      <c r="B58" s="281">
        <v>93030.34</v>
      </c>
      <c r="C58" s="281">
        <v>87474.08</v>
      </c>
      <c r="D58" s="281">
        <v>115724.32</v>
      </c>
      <c r="E58" s="281">
        <v>121244.76</v>
      </c>
      <c r="F58" s="281">
        <v>153295.32</v>
      </c>
      <c r="G58" s="281">
        <v>215602.31</v>
      </c>
      <c r="H58" s="281">
        <v>187042.26</v>
      </c>
      <c r="I58" s="281">
        <v>161783.44</v>
      </c>
      <c r="J58" s="281">
        <v>143464.54999999999</v>
      </c>
      <c r="K58" s="281">
        <v>89430.26</v>
      </c>
      <c r="L58" s="74"/>
    </row>
    <row r="59" spans="1:12" ht="19" x14ac:dyDescent="0.25">
      <c r="A59" s="280" t="s">
        <v>281</v>
      </c>
      <c r="B59" s="297">
        <v>55.22</v>
      </c>
      <c r="C59" s="297">
        <v>52.99</v>
      </c>
      <c r="D59" s="297">
        <v>71.8</v>
      </c>
      <c r="E59" s="297">
        <v>77.14</v>
      </c>
      <c r="F59" s="297">
        <v>98.58</v>
      </c>
      <c r="G59" s="297">
        <v>136.46</v>
      </c>
      <c r="H59" s="297">
        <v>118.85</v>
      </c>
      <c r="I59" s="297">
        <v>105.26</v>
      </c>
      <c r="J59" s="297">
        <v>95.05</v>
      </c>
      <c r="K59" s="297">
        <v>60.59</v>
      </c>
      <c r="L59" s="74"/>
    </row>
    <row r="60" spans="1:12" ht="19" x14ac:dyDescent="0.25">
      <c r="A60" s="280" t="s">
        <v>282</v>
      </c>
      <c r="B60" s="281">
        <v>90033.34</v>
      </c>
      <c r="C60" s="281">
        <v>84815.08</v>
      </c>
      <c r="D60" s="281">
        <v>114459.32</v>
      </c>
      <c r="E60" s="281">
        <v>120685.75999999999</v>
      </c>
      <c r="F60" s="281">
        <v>156769.32</v>
      </c>
      <c r="G60" s="281">
        <v>215924.31</v>
      </c>
      <c r="H60" s="281">
        <v>186232.26</v>
      </c>
      <c r="I60" s="281">
        <v>163547.44</v>
      </c>
      <c r="J60" s="281">
        <v>144996.54999999999</v>
      </c>
      <c r="K60" s="281">
        <v>90952.26</v>
      </c>
      <c r="L60" s="74"/>
    </row>
    <row r="61" spans="1:12" ht="16" x14ac:dyDescent="0.2">
      <c r="A61" s="298" t="s">
        <v>283</v>
      </c>
      <c r="B61"/>
      <c r="C61"/>
      <c r="D61"/>
      <c r="E61"/>
      <c r="F61"/>
      <c r="G61"/>
      <c r="H61"/>
      <c r="I61"/>
      <c r="J61"/>
      <c r="K61" s="74"/>
      <c r="L61" s="74"/>
    </row>
    <row r="62" spans="1:12" ht="16" x14ac:dyDescent="0.2">
      <c r="A62" s="298" t="s">
        <v>284</v>
      </c>
      <c r="B62"/>
      <c r="C62"/>
      <c r="D62"/>
      <c r="E62"/>
      <c r="F62"/>
      <c r="G62"/>
      <c r="H62"/>
      <c r="I62"/>
      <c r="J62"/>
      <c r="K62" s="74"/>
      <c r="L62" s="74"/>
    </row>
    <row r="63" spans="1:12" x14ac:dyDescent="0.2">
      <c r="A63" s="299" t="s">
        <v>285</v>
      </c>
      <c r="B63"/>
      <c r="C63"/>
      <c r="D63"/>
      <c r="E63"/>
      <c r="F63"/>
      <c r="G63"/>
      <c r="H63"/>
      <c r="I63"/>
      <c r="J63"/>
      <c r="K63" s="74"/>
      <c r="L63" s="74"/>
    </row>
    <row r="64" spans="1:12" x14ac:dyDescent="0.2">
      <c r="A64" s="299" t="s">
        <v>286</v>
      </c>
      <c r="B64"/>
      <c r="C64"/>
      <c r="D64"/>
      <c r="E64"/>
      <c r="F64"/>
      <c r="G64"/>
      <c r="H64"/>
      <c r="I64"/>
      <c r="J64"/>
      <c r="K64" s="74"/>
      <c r="L64" s="74"/>
    </row>
    <row r="66" spans="2:12" x14ac:dyDescent="0.2">
      <c r="B66" s="74"/>
      <c r="C66" s="74"/>
      <c r="D66" s="74"/>
      <c r="E66" s="74"/>
      <c r="F66" s="74"/>
      <c r="G66" s="74"/>
      <c r="H66" s="74"/>
      <c r="I66" s="74"/>
      <c r="J66" s="74"/>
      <c r="K66" s="74"/>
      <c r="L66" s="74"/>
    </row>
    <row r="67" spans="2:12" x14ac:dyDescent="0.2">
      <c r="B67" s="74"/>
      <c r="C67" s="74"/>
      <c r="D67" s="74"/>
      <c r="E67" s="74"/>
      <c r="F67" s="74"/>
      <c r="G67" s="74"/>
      <c r="H67" s="74"/>
      <c r="I67" s="74"/>
      <c r="J67" s="74"/>
      <c r="K67" s="74"/>
      <c r="L67" s="74"/>
    </row>
    <row r="68" spans="2:12" x14ac:dyDescent="0.2">
      <c r="B68" s="74"/>
      <c r="C68" s="74"/>
      <c r="D68" s="74"/>
      <c r="E68" s="74"/>
      <c r="F68" s="74"/>
      <c r="G68" s="74"/>
      <c r="H68" s="74"/>
      <c r="I68" s="74"/>
      <c r="J68" s="74"/>
      <c r="K68" s="74"/>
    </row>
  </sheetData>
  <mergeCells count="1">
    <mergeCell ref="A1:J1"/>
  </mergeCells>
  <phoneticPr fontId="42" type="noConversion"/>
  <hyperlinks>
    <hyperlink ref="A63" r:id="rId1" display="https://app.tikr.com/terms" xr:uid="{0EC26DAD-624E-A843-BBC2-06376F9C5C84}"/>
    <hyperlink ref="A64" r:id="rId2" display="https://app.tikr.com/privacypolicy" xr:uid="{15506661-2E63-9944-81A3-C2497BEF069A}"/>
  </hyperlinks>
  <pageMargins left="0.7" right="0.7" top="0.75" bottom="0.75" header="0.3" footer="0.3"/>
  <pageSetup paperSize="9" orientation="portrait" horizontalDpi="1200" verticalDpi="1200"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dimension ref="A1:L69"/>
  <sheetViews>
    <sheetView showGridLines="0" workbookViewId="0">
      <pane xSplit="1" ySplit="2" topLeftCell="B3" activePane="bottomRight" state="frozen"/>
      <selection pane="topRight" activeCell="B1" sqref="B1"/>
      <selection pane="bottomLeft" activeCell="A3" sqref="A3"/>
      <selection pane="bottomRight" activeCell="B2" sqref="B2"/>
    </sheetView>
  </sheetViews>
  <sheetFormatPr baseColWidth="10" defaultColWidth="0" defaultRowHeight="15" x14ac:dyDescent="0.2"/>
  <cols>
    <col min="1" max="1" width="40.33203125" bestFit="1" customWidth="1"/>
    <col min="2" max="11" width="14.6640625" style="3" customWidth="1"/>
    <col min="12" max="12" width="14.6640625" style="3" hidden="1" customWidth="1"/>
    <col min="13" max="16384" width="11.5" hidden="1"/>
  </cols>
  <sheetData>
    <row r="1" spans="1:12" x14ac:dyDescent="0.2">
      <c r="A1" s="318"/>
      <c r="B1" s="318"/>
      <c r="C1" s="318"/>
      <c r="D1" s="318"/>
      <c r="E1" s="318"/>
      <c r="F1" s="318"/>
      <c r="G1" s="318"/>
      <c r="H1" s="318"/>
      <c r="I1" s="318"/>
      <c r="J1" s="318"/>
      <c r="K1" s="76"/>
      <c r="L1" s="76"/>
    </row>
    <row r="2" spans="1:12" ht="19" x14ac:dyDescent="0.25">
      <c r="A2" s="279" t="s">
        <v>288</v>
      </c>
      <c r="B2" s="279" t="s">
        <v>287</v>
      </c>
      <c r="C2" s="279" t="s">
        <v>225</v>
      </c>
      <c r="D2" s="279" t="s">
        <v>226</v>
      </c>
      <c r="E2" s="279" t="s">
        <v>227</v>
      </c>
      <c r="F2" s="279" t="s">
        <v>228</v>
      </c>
      <c r="G2" s="279" t="s">
        <v>229</v>
      </c>
      <c r="H2" s="279" t="s">
        <v>230</v>
      </c>
      <c r="I2" s="279" t="s">
        <v>231</v>
      </c>
      <c r="J2" s="279" t="s">
        <v>232</v>
      </c>
      <c r="K2" s="279" t="s">
        <v>233</v>
      </c>
      <c r="L2" s="77"/>
    </row>
    <row r="3" spans="1:12" x14ac:dyDescent="0.2">
      <c r="B3"/>
      <c r="C3"/>
      <c r="D3"/>
      <c r="E3"/>
      <c r="F3"/>
      <c r="G3"/>
      <c r="H3"/>
      <c r="I3"/>
      <c r="J3"/>
      <c r="K3"/>
    </row>
    <row r="4" spans="1:12" ht="19" x14ac:dyDescent="0.25">
      <c r="A4" s="280" t="s">
        <v>289</v>
      </c>
      <c r="B4" s="281">
        <v>3138</v>
      </c>
      <c r="C4" s="281">
        <v>3808</v>
      </c>
      <c r="D4" s="281">
        <v>4249</v>
      </c>
      <c r="E4" s="281">
        <v>4466</v>
      </c>
      <c r="F4" s="281">
        <v>8348</v>
      </c>
      <c r="G4" s="281">
        <v>9889</v>
      </c>
      <c r="H4" s="281">
        <v>8574</v>
      </c>
      <c r="I4" s="281">
        <v>7441</v>
      </c>
      <c r="J4" s="281">
        <v>9860</v>
      </c>
      <c r="K4" s="281">
        <v>7464</v>
      </c>
      <c r="L4" s="74"/>
    </row>
    <row r="5" spans="1:12" ht="19" x14ac:dyDescent="0.25">
      <c r="A5" s="280" t="s">
        <v>290</v>
      </c>
      <c r="B5" s="281">
        <v>2319</v>
      </c>
      <c r="C5" s="281">
        <v>2371</v>
      </c>
      <c r="D5" s="291">
        <v>996</v>
      </c>
      <c r="E5" s="291">
        <v>197</v>
      </c>
      <c r="F5" s="291">
        <v>439</v>
      </c>
      <c r="G5" s="281">
        <v>3587</v>
      </c>
      <c r="H5" s="281">
        <v>4423</v>
      </c>
      <c r="I5" s="281">
        <v>3234</v>
      </c>
      <c r="J5" s="281">
        <v>1722</v>
      </c>
      <c r="K5" s="281">
        <v>1687</v>
      </c>
      <c r="L5" s="74"/>
    </row>
    <row r="6" spans="1:12" ht="19" x14ac:dyDescent="0.25">
      <c r="A6" s="280" t="s">
        <v>291</v>
      </c>
      <c r="B6" s="291">
        <v>7</v>
      </c>
      <c r="C6" s="288"/>
      <c r="D6" s="288"/>
      <c r="E6" s="288"/>
      <c r="F6" s="288"/>
      <c r="G6" s="288"/>
      <c r="H6" s="288"/>
      <c r="I6" s="288"/>
      <c r="J6" s="288"/>
      <c r="K6" s="288"/>
      <c r="L6" s="74"/>
    </row>
    <row r="7" spans="1:12" ht="19" x14ac:dyDescent="0.25">
      <c r="A7" s="282" t="s">
        <v>292</v>
      </c>
      <c r="B7" s="283">
        <v>5464</v>
      </c>
      <c r="C7" s="283">
        <v>6179</v>
      </c>
      <c r="D7" s="283">
        <v>5245</v>
      </c>
      <c r="E7" s="283">
        <v>4663</v>
      </c>
      <c r="F7" s="283">
        <v>8787</v>
      </c>
      <c r="G7" s="283">
        <v>13476</v>
      </c>
      <c r="H7" s="283">
        <v>12997</v>
      </c>
      <c r="I7" s="283">
        <v>10675</v>
      </c>
      <c r="J7" s="283">
        <v>11582</v>
      </c>
      <c r="K7" s="283">
        <v>9151</v>
      </c>
      <c r="L7" s="74"/>
    </row>
    <row r="8" spans="1:12" ht="19" x14ac:dyDescent="0.25">
      <c r="A8" s="280" t="s">
        <v>293</v>
      </c>
      <c r="B8" s="281">
        <v>3241</v>
      </c>
      <c r="C8" s="281">
        <v>3677</v>
      </c>
      <c r="D8" s="281">
        <v>3498</v>
      </c>
      <c r="E8" s="281">
        <v>4272</v>
      </c>
      <c r="F8" s="281">
        <v>2749</v>
      </c>
      <c r="G8" s="281">
        <v>4463</v>
      </c>
      <c r="H8" s="281">
        <v>4667</v>
      </c>
      <c r="I8" s="281">
        <v>4131</v>
      </c>
      <c r="J8" s="281">
        <v>4427</v>
      </c>
      <c r="K8" s="281">
        <v>4717</v>
      </c>
      <c r="L8" s="74"/>
    </row>
    <row r="9" spans="1:12" ht="19" x14ac:dyDescent="0.25">
      <c r="A9" s="280" t="s">
        <v>294</v>
      </c>
      <c r="B9" s="288"/>
      <c r="C9" s="288"/>
      <c r="D9" s="288"/>
      <c r="E9" s="288"/>
      <c r="F9" s="288"/>
      <c r="G9" s="288"/>
      <c r="H9" s="288"/>
      <c r="I9" s="288"/>
      <c r="J9" s="288"/>
      <c r="K9" s="288"/>
      <c r="L9" s="74"/>
    </row>
    <row r="10" spans="1:12" ht="19" x14ac:dyDescent="0.25">
      <c r="A10" s="280" t="s">
        <v>295</v>
      </c>
      <c r="B10" s="288"/>
      <c r="C10" s="288"/>
      <c r="D10" s="288"/>
      <c r="E10" s="288"/>
      <c r="F10" s="288"/>
      <c r="G10" s="288"/>
      <c r="H10" s="288"/>
      <c r="I10" s="288"/>
      <c r="J10" s="288"/>
      <c r="K10" s="288"/>
      <c r="L10" s="74"/>
    </row>
    <row r="11" spans="1:12" ht="19" x14ac:dyDescent="0.25">
      <c r="A11" s="282" t="s">
        <v>296</v>
      </c>
      <c r="B11" s="283">
        <v>3241</v>
      </c>
      <c r="C11" s="283">
        <v>3677</v>
      </c>
      <c r="D11" s="283">
        <v>3498</v>
      </c>
      <c r="E11" s="283">
        <v>4272</v>
      </c>
      <c r="F11" s="283">
        <v>2749</v>
      </c>
      <c r="G11" s="283">
        <v>4463</v>
      </c>
      <c r="H11" s="283">
        <v>4667</v>
      </c>
      <c r="I11" s="283">
        <v>4131</v>
      </c>
      <c r="J11" s="283">
        <v>4427</v>
      </c>
      <c r="K11" s="283">
        <v>4717</v>
      </c>
      <c r="L11" s="74"/>
    </row>
    <row r="12" spans="1:12" ht="19" x14ac:dyDescent="0.25">
      <c r="A12" s="280" t="s">
        <v>297</v>
      </c>
      <c r="B12" s="281">
        <v>4838</v>
      </c>
      <c r="C12" s="281">
        <v>5055</v>
      </c>
      <c r="D12" s="281">
        <v>5261</v>
      </c>
      <c r="E12" s="281">
        <v>5622</v>
      </c>
      <c r="F12" s="281">
        <v>7367</v>
      </c>
      <c r="G12" s="281">
        <v>6854</v>
      </c>
      <c r="H12" s="281">
        <v>8420</v>
      </c>
      <c r="I12" s="281">
        <v>8454</v>
      </c>
      <c r="J12" s="281">
        <v>7519</v>
      </c>
      <c r="K12" s="281">
        <v>7489</v>
      </c>
      <c r="L12" s="74"/>
    </row>
    <row r="13" spans="1:12" ht="19" x14ac:dyDescent="0.25">
      <c r="A13" s="280" t="s">
        <v>298</v>
      </c>
      <c r="B13" s="291">
        <v>993</v>
      </c>
      <c r="C13" s="291">
        <v>933</v>
      </c>
      <c r="D13" s="291">
        <v>890</v>
      </c>
      <c r="E13" s="291">
        <v>942</v>
      </c>
      <c r="F13" s="281">
        <v>1248</v>
      </c>
      <c r="G13" s="281">
        <v>1153</v>
      </c>
      <c r="H13" s="281">
        <v>1261</v>
      </c>
      <c r="I13" s="281">
        <v>1223</v>
      </c>
      <c r="J13" s="281">
        <v>1224</v>
      </c>
      <c r="K13" s="281">
        <v>1392</v>
      </c>
      <c r="L13" s="74"/>
    </row>
    <row r="14" spans="1:12" ht="19" x14ac:dyDescent="0.25">
      <c r="A14" s="280" t="s">
        <v>299</v>
      </c>
      <c r="B14" s="288"/>
      <c r="C14" s="288"/>
      <c r="D14" s="288"/>
      <c r="E14" s="288"/>
      <c r="F14" s="288"/>
      <c r="G14" s="288"/>
      <c r="H14" s="288"/>
      <c r="I14" s="288"/>
      <c r="J14" s="288"/>
      <c r="K14" s="288"/>
      <c r="L14" s="74"/>
    </row>
    <row r="15" spans="1:12" ht="19" x14ac:dyDescent="0.25">
      <c r="A15" s="280" t="s">
        <v>300</v>
      </c>
      <c r="B15" s="291">
        <v>489</v>
      </c>
      <c r="C15" s="291">
        <v>217</v>
      </c>
      <c r="D15" s="291">
        <v>240</v>
      </c>
      <c r="E15" s="281">
        <v>1026</v>
      </c>
      <c r="F15" s="291">
        <v>405</v>
      </c>
      <c r="G15" s="291">
        <v>345</v>
      </c>
      <c r="H15" s="291">
        <v>868</v>
      </c>
      <c r="I15" s="291">
        <v>719</v>
      </c>
      <c r="J15" s="291">
        <v>630</v>
      </c>
      <c r="K15" s="291">
        <v>613</v>
      </c>
      <c r="L15" s="74"/>
    </row>
    <row r="16" spans="1:12" ht="19" x14ac:dyDescent="0.25">
      <c r="A16" s="282" t="s">
        <v>301</v>
      </c>
      <c r="B16" s="283">
        <v>15025</v>
      </c>
      <c r="C16" s="283">
        <v>16061</v>
      </c>
      <c r="D16" s="283">
        <v>15134</v>
      </c>
      <c r="E16" s="283">
        <v>16525</v>
      </c>
      <c r="F16" s="283">
        <v>20556</v>
      </c>
      <c r="G16" s="283">
        <v>26291</v>
      </c>
      <c r="H16" s="283">
        <v>28213</v>
      </c>
      <c r="I16" s="283">
        <v>25202</v>
      </c>
      <c r="J16" s="283">
        <v>25382</v>
      </c>
      <c r="K16" s="283">
        <v>23362</v>
      </c>
      <c r="L16" s="74"/>
    </row>
    <row r="17" spans="1:12" ht="19" x14ac:dyDescent="0.25">
      <c r="A17" s="280" t="s">
        <v>302</v>
      </c>
      <c r="B17" s="281">
        <v>7038</v>
      </c>
      <c r="C17" s="281">
        <v>7958</v>
      </c>
      <c r="D17" s="281">
        <v>8891</v>
      </c>
      <c r="E17" s="281">
        <v>9469</v>
      </c>
      <c r="F17" s="281">
        <v>12758</v>
      </c>
      <c r="G17" s="281">
        <v>13174</v>
      </c>
      <c r="H17" s="281">
        <v>13023</v>
      </c>
      <c r="I17" s="281">
        <v>13638</v>
      </c>
      <c r="J17" s="281">
        <v>13632</v>
      </c>
      <c r="K17" s="281">
        <v>13644</v>
      </c>
      <c r="L17" s="74"/>
    </row>
    <row r="18" spans="1:12" ht="19" x14ac:dyDescent="0.25">
      <c r="A18" s="280" t="s">
        <v>303</v>
      </c>
      <c r="B18" s="287">
        <v>-3518</v>
      </c>
      <c r="C18" s="287">
        <v>-3969</v>
      </c>
      <c r="D18" s="287">
        <v>-4437</v>
      </c>
      <c r="E18" s="287">
        <v>-4725</v>
      </c>
      <c r="F18" s="287">
        <v>-4795</v>
      </c>
      <c r="G18" s="287">
        <v>-5157</v>
      </c>
      <c r="H18" s="287">
        <v>-5306</v>
      </c>
      <c r="I18" s="287">
        <v>-5634</v>
      </c>
      <c r="J18" s="287">
        <v>-5914</v>
      </c>
      <c r="K18" s="287">
        <v>-6104</v>
      </c>
      <c r="L18" s="74"/>
    </row>
    <row r="19" spans="1:12" ht="19" x14ac:dyDescent="0.25">
      <c r="A19" s="282" t="s">
        <v>304</v>
      </c>
      <c r="B19" s="283">
        <v>3520</v>
      </c>
      <c r="C19" s="283">
        <v>3989</v>
      </c>
      <c r="D19" s="283">
        <v>4454</v>
      </c>
      <c r="E19" s="283">
        <v>4744</v>
      </c>
      <c r="F19" s="283">
        <v>7963</v>
      </c>
      <c r="G19" s="283">
        <v>8017</v>
      </c>
      <c r="H19" s="283">
        <v>7717</v>
      </c>
      <c r="I19" s="283">
        <v>8004</v>
      </c>
      <c r="J19" s="283">
        <v>7718</v>
      </c>
      <c r="K19" s="283">
        <v>7540</v>
      </c>
      <c r="L19" s="74"/>
    </row>
    <row r="20" spans="1:12" ht="19" x14ac:dyDescent="0.25">
      <c r="A20" s="280" t="s">
        <v>305</v>
      </c>
      <c r="B20" s="288"/>
      <c r="C20" s="288"/>
      <c r="D20" s="288"/>
      <c r="E20" s="288"/>
      <c r="F20" s="288"/>
      <c r="G20" s="288"/>
      <c r="H20" s="288"/>
      <c r="I20" s="288"/>
      <c r="J20" s="288"/>
      <c r="K20" s="291">
        <v>24</v>
      </c>
      <c r="L20" s="74"/>
    </row>
    <row r="21" spans="1:12" ht="19" x14ac:dyDescent="0.25">
      <c r="A21" s="280" t="s">
        <v>306</v>
      </c>
      <c r="B21" s="291">
        <v>131</v>
      </c>
      <c r="C21" s="291">
        <v>139</v>
      </c>
      <c r="D21" s="291">
        <v>154</v>
      </c>
      <c r="E21" s="291">
        <v>154</v>
      </c>
      <c r="F21" s="291">
        <v>223</v>
      </c>
      <c r="G21" s="291">
        <v>242</v>
      </c>
      <c r="H21" s="291">
        <v>284</v>
      </c>
      <c r="I21" s="291">
        <v>281</v>
      </c>
      <c r="J21" s="291">
        <v>240</v>
      </c>
      <c r="K21" s="291">
        <v>240</v>
      </c>
      <c r="L21" s="74"/>
    </row>
    <row r="22" spans="1:12" ht="19" x14ac:dyDescent="0.25">
      <c r="A22" s="280" t="s">
        <v>307</v>
      </c>
      <c r="B22" s="291">
        <v>281</v>
      </c>
      <c r="C22" s="291">
        <v>283</v>
      </c>
      <c r="D22" s="291">
        <v>285</v>
      </c>
      <c r="E22" s="291">
        <v>283</v>
      </c>
      <c r="F22" s="291">
        <v>274</v>
      </c>
      <c r="G22" s="291">
        <v>269</v>
      </c>
      <c r="H22" s="291">
        <v>286</v>
      </c>
      <c r="I22" s="291">
        <v>274</v>
      </c>
      <c r="J22" s="291">
        <v>259</v>
      </c>
      <c r="K22" s="291">
        <v>259</v>
      </c>
      <c r="L22" s="74"/>
    </row>
    <row r="23" spans="1:12" ht="19" x14ac:dyDescent="0.25">
      <c r="A23" s="280" t="s">
        <v>308</v>
      </c>
      <c r="B23" s="281">
        <v>2033</v>
      </c>
      <c r="C23" s="281">
        <v>2516</v>
      </c>
      <c r="D23" s="281">
        <v>1978</v>
      </c>
      <c r="E23" s="291">
        <v>663</v>
      </c>
      <c r="F23" s="281">
        <v>1963</v>
      </c>
      <c r="G23" s="281">
        <v>1668</v>
      </c>
      <c r="H23" s="281">
        <v>2295</v>
      </c>
      <c r="I23" s="281">
        <v>2026</v>
      </c>
      <c r="J23" s="281">
        <v>2465</v>
      </c>
      <c r="K23" s="281">
        <v>2668</v>
      </c>
      <c r="L23" s="74"/>
    </row>
    <row r="24" spans="1:12" ht="19" x14ac:dyDescent="0.25">
      <c r="A24" s="280" t="s">
        <v>309</v>
      </c>
      <c r="B24" s="291">
        <v>389</v>
      </c>
      <c r="C24" s="291">
        <v>271</v>
      </c>
      <c r="D24" s="291">
        <v>531</v>
      </c>
      <c r="E24" s="281">
        <v>1348</v>
      </c>
      <c r="F24" s="291">
        <v>363</v>
      </c>
      <c r="G24" s="281">
        <v>1253</v>
      </c>
      <c r="H24" s="281">
        <v>1526</v>
      </c>
      <c r="I24" s="281">
        <v>1744</v>
      </c>
      <c r="J24" s="281">
        <v>2046</v>
      </c>
      <c r="K24" s="281">
        <v>2486</v>
      </c>
      <c r="L24" s="74"/>
    </row>
    <row r="25" spans="1:12" ht="19" x14ac:dyDescent="0.25">
      <c r="A25" s="282" t="s">
        <v>310</v>
      </c>
      <c r="B25" s="283">
        <v>21379</v>
      </c>
      <c r="C25" s="283">
        <v>23259</v>
      </c>
      <c r="D25" s="283">
        <v>22536</v>
      </c>
      <c r="E25" s="283">
        <v>23717</v>
      </c>
      <c r="F25" s="283">
        <v>31342</v>
      </c>
      <c r="G25" s="283">
        <v>37740</v>
      </c>
      <c r="H25" s="283">
        <v>40321</v>
      </c>
      <c r="I25" s="283">
        <v>37531</v>
      </c>
      <c r="J25" s="283">
        <v>38110</v>
      </c>
      <c r="K25" s="283">
        <v>36579</v>
      </c>
      <c r="L25" s="74"/>
    </row>
    <row r="26" spans="1:12" ht="19" x14ac:dyDescent="0.25">
      <c r="A26" s="280" t="s">
        <v>311</v>
      </c>
      <c r="B26" s="281">
        <v>2191</v>
      </c>
      <c r="C26" s="281">
        <v>2048</v>
      </c>
      <c r="D26" s="281">
        <v>2279</v>
      </c>
      <c r="E26" s="281">
        <v>2612</v>
      </c>
      <c r="F26" s="281">
        <v>2248</v>
      </c>
      <c r="G26" s="281">
        <v>2836</v>
      </c>
      <c r="H26" s="281">
        <v>3358</v>
      </c>
      <c r="I26" s="281">
        <v>2862</v>
      </c>
      <c r="J26" s="281">
        <v>2851</v>
      </c>
      <c r="K26" s="281">
        <v>3479</v>
      </c>
      <c r="L26" s="74"/>
    </row>
    <row r="27" spans="1:12" ht="19" x14ac:dyDescent="0.25">
      <c r="A27" s="280" t="s">
        <v>312</v>
      </c>
      <c r="B27" s="281">
        <v>2499</v>
      </c>
      <c r="C27" s="281">
        <v>2543</v>
      </c>
      <c r="D27" s="281">
        <v>2722</v>
      </c>
      <c r="E27" s="281">
        <v>3073</v>
      </c>
      <c r="F27" s="281">
        <v>3411</v>
      </c>
      <c r="G27" s="281">
        <v>4212</v>
      </c>
      <c r="H27" s="281">
        <v>1793</v>
      </c>
      <c r="I27" s="281">
        <v>4200</v>
      </c>
      <c r="J27" s="281">
        <v>3880</v>
      </c>
      <c r="K27" s="281">
        <v>3479</v>
      </c>
      <c r="L27" s="74"/>
    </row>
    <row r="28" spans="1:12" ht="19" x14ac:dyDescent="0.25">
      <c r="A28" s="280" t="s">
        <v>313</v>
      </c>
      <c r="B28" s="291">
        <v>1</v>
      </c>
      <c r="C28" s="291">
        <v>325</v>
      </c>
      <c r="D28" s="291">
        <v>336</v>
      </c>
      <c r="E28" s="291">
        <v>9</v>
      </c>
      <c r="F28" s="291">
        <v>248</v>
      </c>
      <c r="G28" s="291">
        <v>2</v>
      </c>
      <c r="H28" s="291">
        <v>10</v>
      </c>
      <c r="I28" s="291">
        <v>6</v>
      </c>
      <c r="J28" s="291">
        <v>6</v>
      </c>
      <c r="K28" s="291">
        <v>5</v>
      </c>
      <c r="L28" s="74"/>
    </row>
    <row r="29" spans="1:12" ht="19" x14ac:dyDescent="0.25">
      <c r="A29" s="280" t="s">
        <v>314</v>
      </c>
      <c r="B29" s="291">
        <v>89</v>
      </c>
      <c r="C29" s="291">
        <v>6</v>
      </c>
      <c r="D29" s="291">
        <v>6</v>
      </c>
      <c r="E29" s="291">
        <v>6</v>
      </c>
      <c r="F29" s="291">
        <v>3</v>
      </c>
      <c r="G29" s="288"/>
      <c r="H29" s="291">
        <v>500</v>
      </c>
      <c r="I29" s="288"/>
      <c r="J29" s="281">
        <v>1000</v>
      </c>
      <c r="K29" s="288"/>
      <c r="L29" s="74"/>
    </row>
    <row r="30" spans="1:12" ht="19" x14ac:dyDescent="0.25">
      <c r="A30" s="280" t="s">
        <v>315</v>
      </c>
      <c r="B30" s="288"/>
      <c r="C30" s="288"/>
      <c r="D30" s="288"/>
      <c r="E30" s="291">
        <v>32</v>
      </c>
      <c r="F30" s="291">
        <v>445</v>
      </c>
      <c r="G30" s="291">
        <v>467</v>
      </c>
      <c r="H30" s="291">
        <v>420</v>
      </c>
      <c r="I30" s="291">
        <v>425</v>
      </c>
      <c r="J30" s="291">
        <v>477</v>
      </c>
      <c r="K30" s="291">
        <v>502</v>
      </c>
      <c r="L30" s="74"/>
    </row>
    <row r="31" spans="1:12" ht="19" x14ac:dyDescent="0.25">
      <c r="A31" s="280" t="s">
        <v>316</v>
      </c>
      <c r="B31" s="291">
        <v>85</v>
      </c>
      <c r="C31" s="291">
        <v>84</v>
      </c>
      <c r="D31" s="291">
        <v>150</v>
      </c>
      <c r="E31" s="291">
        <v>229</v>
      </c>
      <c r="F31" s="291">
        <v>156</v>
      </c>
      <c r="G31" s="291">
        <v>306</v>
      </c>
      <c r="H31" s="291">
        <v>222</v>
      </c>
      <c r="I31" s="291">
        <v>240</v>
      </c>
      <c r="J31" s="291">
        <v>534</v>
      </c>
      <c r="K31" s="291">
        <v>669</v>
      </c>
      <c r="L31" s="74"/>
    </row>
    <row r="32" spans="1:12" ht="19" x14ac:dyDescent="0.25">
      <c r="A32" s="280" t="s">
        <v>317</v>
      </c>
      <c r="B32" s="291">
        <v>493</v>
      </c>
      <c r="C32" s="291">
        <v>468</v>
      </c>
      <c r="D32" s="291">
        <v>547</v>
      </c>
      <c r="E32" s="281">
        <v>1905</v>
      </c>
      <c r="F32" s="281">
        <v>1773</v>
      </c>
      <c r="G32" s="281">
        <v>1851</v>
      </c>
      <c r="H32" s="281">
        <v>4427</v>
      </c>
      <c r="I32" s="281">
        <v>1523</v>
      </c>
      <c r="J32" s="281">
        <v>1845</v>
      </c>
      <c r="K32" s="281">
        <v>2432</v>
      </c>
      <c r="L32" s="74"/>
    </row>
    <row r="33" spans="1:12" ht="19" x14ac:dyDescent="0.25">
      <c r="A33" s="282" t="s">
        <v>318</v>
      </c>
      <c r="B33" s="283">
        <v>5358</v>
      </c>
      <c r="C33" s="283">
        <v>5474</v>
      </c>
      <c r="D33" s="283">
        <v>6040</v>
      </c>
      <c r="E33" s="283">
        <v>7866</v>
      </c>
      <c r="F33" s="283">
        <v>8284</v>
      </c>
      <c r="G33" s="283">
        <v>9674</v>
      </c>
      <c r="H33" s="283">
        <v>10730</v>
      </c>
      <c r="I33" s="283">
        <v>9256</v>
      </c>
      <c r="J33" s="283">
        <v>10593</v>
      </c>
      <c r="K33" s="283">
        <v>10566</v>
      </c>
      <c r="L33" s="74"/>
    </row>
    <row r="34" spans="1:12" ht="19" x14ac:dyDescent="0.25">
      <c r="A34" s="280" t="s">
        <v>319</v>
      </c>
      <c r="B34" s="281">
        <v>1993</v>
      </c>
      <c r="C34" s="281">
        <v>3471</v>
      </c>
      <c r="D34" s="281">
        <v>3468</v>
      </c>
      <c r="E34" s="281">
        <v>3464</v>
      </c>
      <c r="F34" s="281">
        <v>9406</v>
      </c>
      <c r="G34" s="281">
        <v>9413</v>
      </c>
      <c r="H34" s="281">
        <v>8920</v>
      </c>
      <c r="I34" s="281">
        <v>8927</v>
      </c>
      <c r="J34" s="281">
        <v>7934</v>
      </c>
      <c r="K34" s="281">
        <v>7964</v>
      </c>
      <c r="L34" s="74"/>
    </row>
    <row r="35" spans="1:12" ht="19" x14ac:dyDescent="0.25">
      <c r="A35" s="280" t="s">
        <v>320</v>
      </c>
      <c r="B35" s="288"/>
      <c r="C35" s="288"/>
      <c r="D35" s="291">
        <v>75</v>
      </c>
      <c r="E35" s="291">
        <v>342</v>
      </c>
      <c r="F35" s="281">
        <v>2913</v>
      </c>
      <c r="G35" s="281">
        <v>2931</v>
      </c>
      <c r="H35" s="281">
        <v>2777</v>
      </c>
      <c r="I35" s="281">
        <v>2786</v>
      </c>
      <c r="J35" s="281">
        <v>2566</v>
      </c>
      <c r="K35" s="281">
        <v>2550</v>
      </c>
      <c r="L35" s="74"/>
    </row>
    <row r="36" spans="1:12" ht="19" x14ac:dyDescent="0.25">
      <c r="A36" s="280" t="s">
        <v>321</v>
      </c>
      <c r="B36" s="291">
        <v>93</v>
      </c>
      <c r="C36" s="291">
        <v>107</v>
      </c>
      <c r="D36" s="291">
        <v>70</v>
      </c>
      <c r="E36" s="288"/>
      <c r="F36" s="288"/>
      <c r="G36" s="291">
        <v>64</v>
      </c>
      <c r="H36" s="291">
        <v>30</v>
      </c>
      <c r="I36" s="288"/>
      <c r="J36" s="288"/>
      <c r="K36" s="288"/>
      <c r="L36" s="74"/>
    </row>
    <row r="37" spans="1:12" ht="19" x14ac:dyDescent="0.25">
      <c r="A37" s="280" t="s">
        <v>322</v>
      </c>
      <c r="B37" s="291">
        <v>364</v>
      </c>
      <c r="C37" s="291">
        <v>346</v>
      </c>
      <c r="D37" s="291">
        <v>425</v>
      </c>
      <c r="E37" s="291">
        <v>464</v>
      </c>
      <c r="F37" s="291">
        <v>852</v>
      </c>
      <c r="G37" s="291">
        <v>882</v>
      </c>
      <c r="H37" s="281">
        <v>2324</v>
      </c>
      <c r="I37" s="291">
        <v>227</v>
      </c>
      <c r="J37" s="291">
        <v>145</v>
      </c>
      <c r="K37" s="291">
        <v>126</v>
      </c>
      <c r="L37" s="74"/>
    </row>
    <row r="38" spans="1:12" ht="19" x14ac:dyDescent="0.25">
      <c r="A38" s="280" t="s">
        <v>323</v>
      </c>
      <c r="B38" s="281">
        <v>1313</v>
      </c>
      <c r="C38" s="281">
        <v>1454</v>
      </c>
      <c r="D38" s="281">
        <v>2646</v>
      </c>
      <c r="E38" s="281">
        <v>2541</v>
      </c>
      <c r="F38" s="281">
        <v>1832</v>
      </c>
      <c r="G38" s="281">
        <v>2009</v>
      </c>
      <c r="H38" s="291">
        <v>259</v>
      </c>
      <c r="I38" s="281">
        <v>2331</v>
      </c>
      <c r="J38" s="281">
        <v>2442</v>
      </c>
      <c r="K38" s="281">
        <v>2160</v>
      </c>
      <c r="L38" s="74"/>
    </row>
    <row r="39" spans="1:12" ht="19" x14ac:dyDescent="0.25">
      <c r="A39" s="282" t="s">
        <v>324</v>
      </c>
      <c r="B39" s="283">
        <v>9121</v>
      </c>
      <c r="C39" s="283">
        <v>10852</v>
      </c>
      <c r="D39" s="283">
        <v>12724</v>
      </c>
      <c r="E39" s="283">
        <v>14677</v>
      </c>
      <c r="F39" s="283">
        <v>23287</v>
      </c>
      <c r="G39" s="283">
        <v>24973</v>
      </c>
      <c r="H39" s="283">
        <v>25040</v>
      </c>
      <c r="I39" s="283">
        <v>23527</v>
      </c>
      <c r="J39" s="283">
        <v>23680</v>
      </c>
      <c r="K39" s="283">
        <v>23366</v>
      </c>
      <c r="L39" s="74"/>
    </row>
    <row r="40" spans="1:12" ht="19" x14ac:dyDescent="0.25">
      <c r="A40" s="280" t="s">
        <v>325</v>
      </c>
      <c r="B40" s="288"/>
      <c r="C40" s="288"/>
      <c r="D40" s="288"/>
      <c r="E40" s="288"/>
      <c r="F40" s="288"/>
      <c r="G40" s="288"/>
      <c r="H40" s="288"/>
      <c r="I40" s="288"/>
      <c r="J40" s="288"/>
      <c r="K40" s="288"/>
      <c r="L40" s="74"/>
    </row>
    <row r="41" spans="1:12" ht="19" x14ac:dyDescent="0.25">
      <c r="A41" s="282" t="s">
        <v>326</v>
      </c>
      <c r="B41" s="300"/>
      <c r="C41" s="300"/>
      <c r="D41" s="300"/>
      <c r="E41" s="300"/>
      <c r="F41" s="300"/>
      <c r="G41" s="300"/>
      <c r="H41" s="300"/>
      <c r="I41" s="300"/>
      <c r="J41" s="300"/>
      <c r="K41" s="300"/>
      <c r="L41" s="74"/>
    </row>
    <row r="42" spans="1:12" ht="19" x14ac:dyDescent="0.25">
      <c r="A42" s="280" t="s">
        <v>327</v>
      </c>
      <c r="B42" s="291">
        <v>3</v>
      </c>
      <c r="C42" s="291">
        <v>3</v>
      </c>
      <c r="D42" s="291">
        <v>3</v>
      </c>
      <c r="E42" s="291">
        <v>3</v>
      </c>
      <c r="F42" s="291">
        <v>3</v>
      </c>
      <c r="G42" s="291">
        <v>3</v>
      </c>
      <c r="H42" s="291">
        <v>3</v>
      </c>
      <c r="I42" s="291">
        <v>3</v>
      </c>
      <c r="J42" s="291">
        <v>3</v>
      </c>
      <c r="K42" s="291">
        <v>3</v>
      </c>
      <c r="L42" s="74"/>
    </row>
    <row r="43" spans="1:12" ht="19" x14ac:dyDescent="0.25">
      <c r="A43" s="280" t="s">
        <v>328</v>
      </c>
      <c r="B43" s="281">
        <v>7786</v>
      </c>
      <c r="C43" s="281">
        <v>5710</v>
      </c>
      <c r="D43" s="281">
        <v>6384</v>
      </c>
      <c r="E43" s="281">
        <v>7163</v>
      </c>
      <c r="F43" s="281">
        <v>8299</v>
      </c>
      <c r="G43" s="281">
        <v>9965</v>
      </c>
      <c r="H43" s="281">
        <v>11484</v>
      </c>
      <c r="I43" s="281">
        <v>12412</v>
      </c>
      <c r="J43" s="281">
        <v>13409</v>
      </c>
      <c r="K43" s="281">
        <v>14195</v>
      </c>
      <c r="L43" s="74"/>
    </row>
    <row r="44" spans="1:12" ht="19" x14ac:dyDescent="0.25">
      <c r="A44" s="280" t="s">
        <v>329</v>
      </c>
      <c r="B44" s="281">
        <v>4151</v>
      </c>
      <c r="C44" s="281">
        <v>6907</v>
      </c>
      <c r="D44" s="281">
        <v>3517</v>
      </c>
      <c r="E44" s="281">
        <v>1643</v>
      </c>
      <c r="F44" s="290">
        <v>-191</v>
      </c>
      <c r="G44" s="281">
        <v>3179</v>
      </c>
      <c r="H44" s="281">
        <v>3476</v>
      </c>
      <c r="I44" s="281">
        <v>1358</v>
      </c>
      <c r="J44" s="291">
        <v>965</v>
      </c>
      <c r="K44" s="290">
        <v>-727</v>
      </c>
      <c r="L44" s="74"/>
    </row>
    <row r="45" spans="1:12" ht="19" x14ac:dyDescent="0.25">
      <c r="A45" s="280" t="s">
        <v>330</v>
      </c>
      <c r="B45" s="291">
        <v>318</v>
      </c>
      <c r="C45" s="290">
        <v>-213</v>
      </c>
      <c r="D45" s="290">
        <v>-92</v>
      </c>
      <c r="E45" s="291">
        <v>231</v>
      </c>
      <c r="F45" s="290">
        <v>-56</v>
      </c>
      <c r="G45" s="290">
        <v>-380</v>
      </c>
      <c r="H45" s="291">
        <v>318</v>
      </c>
      <c r="I45" s="291">
        <v>231</v>
      </c>
      <c r="J45" s="291">
        <v>53</v>
      </c>
      <c r="K45" s="290">
        <v>-258</v>
      </c>
      <c r="L45" s="74"/>
    </row>
    <row r="46" spans="1:12" ht="19" x14ac:dyDescent="0.25">
      <c r="A46" s="282" t="s">
        <v>331</v>
      </c>
      <c r="B46" s="283">
        <v>12258</v>
      </c>
      <c r="C46" s="283">
        <v>12407</v>
      </c>
      <c r="D46" s="283">
        <v>9812</v>
      </c>
      <c r="E46" s="283">
        <v>9040</v>
      </c>
      <c r="F46" s="283">
        <v>8055</v>
      </c>
      <c r="G46" s="283">
        <v>12767</v>
      </c>
      <c r="H46" s="283">
        <v>15281</v>
      </c>
      <c r="I46" s="283">
        <v>14004</v>
      </c>
      <c r="J46" s="283">
        <v>14430</v>
      </c>
      <c r="K46" s="283">
        <v>13213</v>
      </c>
      <c r="L46" s="74"/>
    </row>
    <row r="47" spans="1:12" ht="19" x14ac:dyDescent="0.25">
      <c r="A47" s="282" t="s">
        <v>332</v>
      </c>
      <c r="B47" s="283">
        <v>12258</v>
      </c>
      <c r="C47" s="283">
        <v>12407</v>
      </c>
      <c r="D47" s="283">
        <v>9812</v>
      </c>
      <c r="E47" s="283">
        <v>9040</v>
      </c>
      <c r="F47" s="283">
        <v>8055</v>
      </c>
      <c r="G47" s="283">
        <v>12767</v>
      </c>
      <c r="H47" s="283">
        <v>15281</v>
      </c>
      <c r="I47" s="283">
        <v>14004</v>
      </c>
      <c r="J47" s="283">
        <v>14430</v>
      </c>
      <c r="K47" s="283">
        <v>13213</v>
      </c>
      <c r="L47" s="74"/>
    </row>
    <row r="48" spans="1:12" ht="19" x14ac:dyDescent="0.25">
      <c r="A48" s="282" t="s">
        <v>333</v>
      </c>
      <c r="B48" s="283">
        <v>21379</v>
      </c>
      <c r="C48" s="283">
        <v>23259</v>
      </c>
      <c r="D48" s="283">
        <v>22536</v>
      </c>
      <c r="E48" s="283">
        <v>23717</v>
      </c>
      <c r="F48" s="283">
        <v>31342</v>
      </c>
      <c r="G48" s="283">
        <v>37740</v>
      </c>
      <c r="H48" s="283">
        <v>40321</v>
      </c>
      <c r="I48" s="283">
        <v>37531</v>
      </c>
      <c r="J48" s="283">
        <v>38110</v>
      </c>
      <c r="K48" s="283">
        <v>36579</v>
      </c>
      <c r="L48" s="74"/>
    </row>
    <row r="49" spans="1:12" ht="19" x14ac:dyDescent="0.25">
      <c r="A49" s="284" t="s">
        <v>266</v>
      </c>
      <c r="B49"/>
      <c r="C49"/>
      <c r="D49"/>
      <c r="E49"/>
      <c r="F49"/>
      <c r="G49"/>
      <c r="H49"/>
      <c r="I49"/>
      <c r="J49"/>
      <c r="K49"/>
      <c r="L49" s="74"/>
    </row>
    <row r="50" spans="1:12" ht="19" x14ac:dyDescent="0.25">
      <c r="A50" s="280" t="s">
        <v>334</v>
      </c>
      <c r="B50" s="281">
        <v>1677.62</v>
      </c>
      <c r="C50" s="281">
        <v>1643.2</v>
      </c>
      <c r="D50" s="281">
        <v>1600.55</v>
      </c>
      <c r="E50" s="281">
        <v>1566.89</v>
      </c>
      <c r="F50" s="281">
        <v>1559.89</v>
      </c>
      <c r="G50" s="281">
        <v>1581.8</v>
      </c>
      <c r="H50" s="281">
        <v>1568.56</v>
      </c>
      <c r="I50" s="281">
        <v>1529.97</v>
      </c>
      <c r="J50" s="281">
        <v>1499.36</v>
      </c>
      <c r="K50" s="281">
        <v>1476.9</v>
      </c>
      <c r="L50" s="74"/>
    </row>
    <row r="51" spans="1:12" ht="19" x14ac:dyDescent="0.25">
      <c r="A51" s="280" t="s">
        <v>335</v>
      </c>
      <c r="B51" s="291">
        <v>7.29</v>
      </c>
      <c r="C51" s="291">
        <v>7.55</v>
      </c>
      <c r="D51" s="291">
        <v>6.13</v>
      </c>
      <c r="E51" s="291">
        <v>5.77</v>
      </c>
      <c r="F51" s="291">
        <v>5.14</v>
      </c>
      <c r="G51" s="291">
        <v>8.09</v>
      </c>
      <c r="H51" s="291">
        <v>9.73</v>
      </c>
      <c r="I51" s="291">
        <v>9.14</v>
      </c>
      <c r="J51" s="291">
        <v>9.6</v>
      </c>
      <c r="K51" s="291">
        <v>8.9499999999999993</v>
      </c>
      <c r="L51" s="74"/>
    </row>
    <row r="52" spans="1:12" ht="19" x14ac:dyDescent="0.25">
      <c r="A52" s="280" t="s">
        <v>336</v>
      </c>
      <c r="B52" s="281">
        <v>11846</v>
      </c>
      <c r="C52" s="281">
        <v>11985</v>
      </c>
      <c r="D52" s="281">
        <v>9373</v>
      </c>
      <c r="E52" s="281">
        <v>8603</v>
      </c>
      <c r="F52" s="281">
        <v>7558</v>
      </c>
      <c r="G52" s="281">
        <v>12256</v>
      </c>
      <c r="H52" s="281">
        <v>14711</v>
      </c>
      <c r="I52" s="281">
        <v>13449</v>
      </c>
      <c r="J52" s="281">
        <v>13931</v>
      </c>
      <c r="K52" s="281">
        <v>12714</v>
      </c>
      <c r="L52" s="74"/>
    </row>
    <row r="53" spans="1:12" ht="19" x14ac:dyDescent="0.25">
      <c r="A53" s="280" t="s">
        <v>337</v>
      </c>
      <c r="B53" s="291">
        <v>7.04</v>
      </c>
      <c r="C53" s="291">
        <v>7.29</v>
      </c>
      <c r="D53" s="291">
        <v>5.85</v>
      </c>
      <c r="E53" s="291">
        <v>5.49</v>
      </c>
      <c r="F53" s="291">
        <v>4.82</v>
      </c>
      <c r="G53" s="291">
        <v>7.77</v>
      </c>
      <c r="H53" s="291">
        <v>9.36</v>
      </c>
      <c r="I53" s="291">
        <v>8.7799999999999994</v>
      </c>
      <c r="J53" s="291">
        <v>9.27</v>
      </c>
      <c r="K53" s="291">
        <v>8.61</v>
      </c>
      <c r="L53" s="74"/>
    </row>
    <row r="54" spans="1:12" ht="19" x14ac:dyDescent="0.25">
      <c r="A54" s="280" t="s">
        <v>338</v>
      </c>
      <c r="B54" s="281">
        <v>2083</v>
      </c>
      <c r="C54" s="281">
        <v>3802</v>
      </c>
      <c r="D54" s="281">
        <v>3885</v>
      </c>
      <c r="E54" s="281">
        <v>3853</v>
      </c>
      <c r="F54" s="281">
        <v>13015</v>
      </c>
      <c r="G54" s="281">
        <v>12813</v>
      </c>
      <c r="H54" s="281">
        <v>12627</v>
      </c>
      <c r="I54" s="281">
        <v>12144</v>
      </c>
      <c r="J54" s="281">
        <v>11983</v>
      </c>
      <c r="K54" s="281">
        <v>11021</v>
      </c>
      <c r="L54" s="74"/>
    </row>
    <row r="55" spans="1:12" ht="19" x14ac:dyDescent="0.25">
      <c r="A55" s="280" t="s">
        <v>339</v>
      </c>
      <c r="B55" s="287">
        <v>-3381</v>
      </c>
      <c r="C55" s="287">
        <v>-2377</v>
      </c>
      <c r="D55" s="287">
        <v>-1360</v>
      </c>
      <c r="E55" s="290">
        <v>-810</v>
      </c>
      <c r="F55" s="281">
        <v>4228</v>
      </c>
      <c r="G55" s="290">
        <v>-663</v>
      </c>
      <c r="H55" s="290">
        <v>-370</v>
      </c>
      <c r="I55" s="281">
        <v>1469</v>
      </c>
      <c r="J55" s="291">
        <v>401</v>
      </c>
      <c r="K55" s="281">
        <v>1870</v>
      </c>
      <c r="L55" s="74"/>
    </row>
    <row r="56" spans="1:12" ht="19" x14ac:dyDescent="0.25">
      <c r="A56" s="280" t="s">
        <v>340</v>
      </c>
      <c r="B56" s="291">
        <v>286</v>
      </c>
      <c r="C56" s="291">
        <v>285</v>
      </c>
      <c r="D56" s="291">
        <v>331</v>
      </c>
      <c r="E56" s="291">
        <v>329</v>
      </c>
      <c r="F56" s="291">
        <v>345</v>
      </c>
      <c r="G56" s="291">
        <v>363</v>
      </c>
      <c r="H56" s="291">
        <v>330</v>
      </c>
      <c r="I56" s="291">
        <v>326</v>
      </c>
      <c r="J56" s="291">
        <v>329</v>
      </c>
      <c r="K56" s="291">
        <v>334</v>
      </c>
      <c r="L56" s="74"/>
    </row>
    <row r="57" spans="1:12" ht="19" x14ac:dyDescent="0.25">
      <c r="A57" s="280" t="s">
        <v>341</v>
      </c>
      <c r="B57" s="281">
        <v>1467</v>
      </c>
      <c r="C57" s="281">
        <v>1564</v>
      </c>
      <c r="D57" s="281">
        <v>2195</v>
      </c>
      <c r="E57" s="281">
        <v>2445</v>
      </c>
      <c r="F57" s="281">
        <v>2442</v>
      </c>
      <c r="G57" s="281">
        <v>3365</v>
      </c>
      <c r="H57" s="281">
        <v>3170</v>
      </c>
      <c r="I57" s="281">
        <v>3293</v>
      </c>
      <c r="J57" s="281">
        <v>3439</v>
      </c>
      <c r="K57" s="281">
        <v>3510</v>
      </c>
      <c r="L57" s="74"/>
    </row>
    <row r="58" spans="1:12" ht="19" x14ac:dyDescent="0.25">
      <c r="A58" s="280" t="s">
        <v>342</v>
      </c>
      <c r="B58" s="291">
        <v>437</v>
      </c>
      <c r="C58" s="291">
        <v>758</v>
      </c>
      <c r="D58" s="291">
        <v>641</v>
      </c>
      <c r="E58" s="291">
        <v>797</v>
      </c>
      <c r="F58" s="281">
        <v>1086</v>
      </c>
      <c r="G58" s="291">
        <v>311</v>
      </c>
      <c r="H58" s="291">
        <v>399</v>
      </c>
      <c r="I58" s="291">
        <v>525</v>
      </c>
      <c r="J58" s="291">
        <v>193</v>
      </c>
      <c r="K58" s="291">
        <v>404</v>
      </c>
      <c r="L58" s="74"/>
    </row>
    <row r="59" spans="1:12" ht="19" x14ac:dyDescent="0.25">
      <c r="A59" s="280" t="s">
        <v>343</v>
      </c>
      <c r="B59" s="281">
        <v>70700</v>
      </c>
      <c r="C59" s="281">
        <v>74400</v>
      </c>
      <c r="D59" s="281">
        <v>73100</v>
      </c>
      <c r="E59" s="281">
        <v>76700</v>
      </c>
      <c r="F59" s="281">
        <v>75400</v>
      </c>
      <c r="G59" s="281">
        <v>73300</v>
      </c>
      <c r="H59" s="281">
        <v>79100</v>
      </c>
      <c r="I59" s="281">
        <v>83700</v>
      </c>
      <c r="J59" s="281">
        <v>79400</v>
      </c>
      <c r="K59" s="281">
        <v>77800</v>
      </c>
      <c r="L59" s="74"/>
    </row>
    <row r="60" spans="1:12" ht="16" x14ac:dyDescent="0.2">
      <c r="A60" s="298" t="s">
        <v>283</v>
      </c>
      <c r="B60"/>
      <c r="C60"/>
      <c r="D60"/>
      <c r="E60"/>
      <c r="F60"/>
      <c r="G60"/>
      <c r="H60"/>
      <c r="I60"/>
      <c r="J60"/>
      <c r="K60" s="74"/>
      <c r="L60" s="74"/>
    </row>
    <row r="61" spans="1:12" ht="16" x14ac:dyDescent="0.2">
      <c r="A61" s="298" t="s">
        <v>284</v>
      </c>
      <c r="B61"/>
      <c r="C61"/>
      <c r="D61"/>
      <c r="E61"/>
      <c r="F61"/>
      <c r="G61"/>
      <c r="H61"/>
      <c r="I61"/>
      <c r="J61"/>
      <c r="K61" s="74"/>
      <c r="L61" s="74"/>
    </row>
    <row r="62" spans="1:12" x14ac:dyDescent="0.2">
      <c r="A62" s="299" t="s">
        <v>285</v>
      </c>
      <c r="B62"/>
      <c r="C62"/>
      <c r="D62"/>
      <c r="E62"/>
      <c r="F62"/>
      <c r="G62"/>
      <c r="H62"/>
      <c r="I62"/>
      <c r="J62"/>
      <c r="K62" s="74"/>
      <c r="L62" s="74"/>
    </row>
    <row r="63" spans="1:12" x14ac:dyDescent="0.2">
      <c r="A63" s="299" t="s">
        <v>286</v>
      </c>
      <c r="B63"/>
      <c r="C63"/>
      <c r="D63"/>
      <c r="E63"/>
      <c r="F63"/>
      <c r="G63"/>
      <c r="H63"/>
      <c r="I63"/>
      <c r="J63"/>
      <c r="K63" s="74"/>
      <c r="L63" s="74"/>
    </row>
    <row r="64" spans="1:12" x14ac:dyDescent="0.2">
      <c r="B64" s="74"/>
      <c r="C64" s="74"/>
      <c r="D64" s="74"/>
      <c r="E64" s="74"/>
      <c r="F64" s="74"/>
      <c r="G64" s="74"/>
      <c r="H64" s="74"/>
      <c r="I64" s="74"/>
      <c r="J64" s="74"/>
      <c r="K64" s="74"/>
      <c r="L64" s="74"/>
    </row>
    <row r="65" spans="2:12" x14ac:dyDescent="0.2">
      <c r="B65" s="74"/>
      <c r="C65" s="74"/>
      <c r="D65" s="74"/>
      <c r="E65" s="74"/>
      <c r="F65" s="74"/>
      <c r="G65" s="74"/>
      <c r="H65" s="74"/>
      <c r="I65" s="74"/>
      <c r="J65" s="74"/>
      <c r="K65" s="74"/>
      <c r="L65" s="74"/>
    </row>
    <row r="66" spans="2:12" x14ac:dyDescent="0.2">
      <c r="J66" s="74"/>
      <c r="K66" s="74"/>
      <c r="L66" s="74"/>
    </row>
    <row r="67" spans="2:12" x14ac:dyDescent="0.2">
      <c r="C67" s="74"/>
      <c r="H67" s="74"/>
      <c r="I67" s="74"/>
      <c r="J67" s="74"/>
      <c r="K67" s="74"/>
    </row>
    <row r="68" spans="2:12" x14ac:dyDescent="0.2">
      <c r="B68" s="74"/>
      <c r="C68" s="74"/>
      <c r="D68" s="74"/>
      <c r="E68" s="74"/>
      <c r="F68" s="74"/>
      <c r="G68" s="74"/>
      <c r="H68" s="74"/>
      <c r="I68" s="74"/>
      <c r="J68" s="74"/>
      <c r="K68" s="74"/>
    </row>
    <row r="69" spans="2:12" x14ac:dyDescent="0.2">
      <c r="B69" s="74"/>
      <c r="C69" s="74"/>
      <c r="D69" s="74"/>
      <c r="E69" s="74"/>
      <c r="F69" s="74"/>
      <c r="G69" s="74"/>
      <c r="H69" s="74"/>
      <c r="I69" s="74"/>
      <c r="J69" s="74"/>
      <c r="K69" s="74"/>
      <c r="L69" s="74"/>
    </row>
  </sheetData>
  <mergeCells count="1">
    <mergeCell ref="A1:J1"/>
  </mergeCells>
  <hyperlinks>
    <hyperlink ref="A62" r:id="rId1" display="https://app.tikr.com/terms" xr:uid="{B04ECEBA-92CE-1945-99B5-AE0D66C7FDAC}"/>
    <hyperlink ref="A63" r:id="rId2" display="https://app.tikr.com/privacypolicy" xr:uid="{A8567D32-99C3-6B4E-8D56-78DB8F9D11A4}"/>
  </hyperlinks>
  <pageMargins left="0.7" right="0.7" top="0.75" bottom="0.75" header="0.3" footer="0.3"/>
  <pageSetup paperSize="9" orientation="portrait" horizontalDpi="1200" verticalDpi="1200"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dimension ref="A1:L99"/>
  <sheetViews>
    <sheetView showGridLines="0" workbookViewId="0">
      <pane xSplit="1" ySplit="2" topLeftCell="B3" activePane="bottomRight" state="frozen"/>
      <selection pane="topRight" activeCell="B1" sqref="B1"/>
      <selection pane="bottomLeft" activeCell="A3" sqref="A3"/>
      <selection pane="bottomRight" activeCell="E11" sqref="E11"/>
    </sheetView>
  </sheetViews>
  <sheetFormatPr baseColWidth="10" defaultColWidth="0" defaultRowHeight="15" x14ac:dyDescent="0.2"/>
  <cols>
    <col min="1" max="1" width="43.5" bestFit="1" customWidth="1"/>
    <col min="2" max="11" width="14.6640625" style="3" customWidth="1"/>
    <col min="12" max="12" width="14.6640625" style="3" hidden="1" customWidth="1"/>
    <col min="13" max="16384" width="11.5" hidden="1"/>
  </cols>
  <sheetData>
    <row r="1" spans="1:12" x14ac:dyDescent="0.2">
      <c r="A1" s="318"/>
      <c r="B1" s="318"/>
      <c r="C1" s="318"/>
      <c r="D1" s="318"/>
      <c r="E1" s="318"/>
      <c r="F1" s="318"/>
      <c r="G1" s="318"/>
      <c r="H1" s="318"/>
      <c r="I1" s="318"/>
      <c r="J1" s="318"/>
      <c r="K1" s="79"/>
      <c r="L1" s="79"/>
    </row>
    <row r="2" spans="1:12" ht="19" x14ac:dyDescent="0.25">
      <c r="A2" s="279" t="s">
        <v>344</v>
      </c>
      <c r="B2" s="279" t="s">
        <v>287</v>
      </c>
      <c r="C2" s="279" t="s">
        <v>225</v>
      </c>
      <c r="D2" s="279" t="s">
        <v>226</v>
      </c>
      <c r="E2" s="279" t="s">
        <v>227</v>
      </c>
      <c r="F2" s="279" t="s">
        <v>228</v>
      </c>
      <c r="G2" s="279" t="s">
        <v>229</v>
      </c>
      <c r="H2" s="279" t="s">
        <v>230</v>
      </c>
      <c r="I2" s="279" t="s">
        <v>231</v>
      </c>
      <c r="J2" s="279" t="s">
        <v>232</v>
      </c>
      <c r="K2" s="279" t="s">
        <v>233</v>
      </c>
      <c r="L2" s="80"/>
    </row>
    <row r="3" spans="1:12" x14ac:dyDescent="0.2">
      <c r="B3"/>
      <c r="C3"/>
      <c r="D3"/>
      <c r="E3"/>
      <c r="F3"/>
      <c r="G3"/>
      <c r="H3"/>
      <c r="I3"/>
      <c r="J3"/>
      <c r="K3"/>
      <c r="L3" s="82"/>
    </row>
    <row r="4" spans="1:12" ht="19" x14ac:dyDescent="0.25">
      <c r="A4" s="282" t="s">
        <v>1</v>
      </c>
      <c r="B4" s="283">
        <v>3760</v>
      </c>
      <c r="C4" s="283">
        <v>4240</v>
      </c>
      <c r="D4" s="283">
        <v>1933</v>
      </c>
      <c r="E4" s="283">
        <v>4029</v>
      </c>
      <c r="F4" s="283">
        <v>2539</v>
      </c>
      <c r="G4" s="283">
        <v>5727</v>
      </c>
      <c r="H4" s="283">
        <v>6046</v>
      </c>
      <c r="I4" s="283">
        <v>5070</v>
      </c>
      <c r="J4" s="283">
        <v>5700</v>
      </c>
      <c r="K4" s="283">
        <v>3219</v>
      </c>
      <c r="L4" s="83"/>
    </row>
    <row r="5" spans="1:12" ht="19" x14ac:dyDescent="0.25">
      <c r="A5" s="280" t="s">
        <v>198</v>
      </c>
      <c r="B5" s="291">
        <v>649</v>
      </c>
      <c r="C5" s="291">
        <v>706</v>
      </c>
      <c r="D5" s="291">
        <v>747</v>
      </c>
      <c r="E5" s="291">
        <v>705</v>
      </c>
      <c r="F5" s="291">
        <v>721</v>
      </c>
      <c r="G5" s="291">
        <v>744</v>
      </c>
      <c r="H5" s="291">
        <v>717</v>
      </c>
      <c r="I5" s="291">
        <v>703</v>
      </c>
      <c r="J5" s="291">
        <v>796</v>
      </c>
      <c r="K5" s="291">
        <v>775</v>
      </c>
      <c r="L5" s="83"/>
    </row>
    <row r="6" spans="1:12" ht="19" x14ac:dyDescent="0.25">
      <c r="A6" s="280" t="s">
        <v>241</v>
      </c>
      <c r="B6" s="291">
        <v>13</v>
      </c>
      <c r="C6" s="291">
        <v>10</v>
      </c>
      <c r="D6" s="291">
        <v>27</v>
      </c>
      <c r="E6" s="291">
        <v>15</v>
      </c>
      <c r="F6" s="291">
        <v>398</v>
      </c>
      <c r="G6" s="291">
        <v>53</v>
      </c>
      <c r="H6" s="291">
        <v>123</v>
      </c>
      <c r="I6" s="288"/>
      <c r="J6" s="288"/>
      <c r="K6" s="288"/>
      <c r="L6" s="83"/>
    </row>
    <row r="7" spans="1:12" ht="19" x14ac:dyDescent="0.25">
      <c r="A7" s="282" t="s">
        <v>345</v>
      </c>
      <c r="B7" s="301">
        <v>662</v>
      </c>
      <c r="C7" s="301">
        <v>716</v>
      </c>
      <c r="D7" s="301">
        <v>774</v>
      </c>
      <c r="E7" s="301">
        <v>720</v>
      </c>
      <c r="F7" s="283">
        <v>1119</v>
      </c>
      <c r="G7" s="301">
        <v>797</v>
      </c>
      <c r="H7" s="301">
        <v>840</v>
      </c>
      <c r="I7" s="301">
        <v>703</v>
      </c>
      <c r="J7" s="301">
        <v>796</v>
      </c>
      <c r="K7" s="301">
        <v>775</v>
      </c>
      <c r="L7" s="83"/>
    </row>
    <row r="8" spans="1:12" ht="19" x14ac:dyDescent="0.25">
      <c r="A8" s="280" t="s">
        <v>346</v>
      </c>
      <c r="B8" s="288"/>
      <c r="C8" s="288"/>
      <c r="D8" s="288"/>
      <c r="E8" s="288"/>
      <c r="F8" s="288"/>
      <c r="G8" s="288"/>
      <c r="H8" s="288"/>
      <c r="I8" s="288"/>
      <c r="J8" s="288"/>
      <c r="K8" s="288"/>
      <c r="L8" s="83"/>
    </row>
    <row r="9" spans="1:12" ht="19" x14ac:dyDescent="0.25">
      <c r="A9" s="280" t="s">
        <v>347</v>
      </c>
      <c r="B9" s="288"/>
      <c r="C9" s="288"/>
      <c r="D9" s="288"/>
      <c r="E9" s="288"/>
      <c r="F9" s="288"/>
      <c r="G9" s="288"/>
      <c r="H9" s="288"/>
      <c r="I9" s="288"/>
      <c r="J9" s="288"/>
      <c r="K9" s="288"/>
      <c r="L9" s="83"/>
    </row>
    <row r="10" spans="1:12" ht="19" x14ac:dyDescent="0.25">
      <c r="A10" s="280" t="s">
        <v>348</v>
      </c>
      <c r="B10" s="288"/>
      <c r="C10" s="288"/>
      <c r="D10" s="288"/>
      <c r="E10" s="288"/>
      <c r="F10" s="288"/>
      <c r="G10" s="288"/>
      <c r="H10" s="288"/>
      <c r="I10" s="291">
        <v>156</v>
      </c>
      <c r="J10" s="291">
        <v>48</v>
      </c>
      <c r="K10" s="291">
        <v>33</v>
      </c>
      <c r="L10" s="83"/>
    </row>
    <row r="11" spans="1:12" ht="19" x14ac:dyDescent="0.25">
      <c r="A11" s="280" t="s">
        <v>349</v>
      </c>
      <c r="B11" s="291">
        <v>236</v>
      </c>
      <c r="C11" s="291">
        <v>215</v>
      </c>
      <c r="D11" s="291">
        <v>218</v>
      </c>
      <c r="E11" s="291">
        <v>325</v>
      </c>
      <c r="F11" s="291">
        <v>429</v>
      </c>
      <c r="G11" s="291">
        <v>611</v>
      </c>
      <c r="H11" s="291">
        <v>638</v>
      </c>
      <c r="I11" s="291">
        <v>755</v>
      </c>
      <c r="J11" s="291">
        <v>804</v>
      </c>
      <c r="K11" s="291">
        <v>709</v>
      </c>
      <c r="L11" s="83"/>
    </row>
    <row r="12" spans="1:12" ht="19" x14ac:dyDescent="0.25">
      <c r="A12" s="280" t="s">
        <v>350</v>
      </c>
      <c r="B12" s="288"/>
      <c r="C12" s="288"/>
      <c r="D12" s="288"/>
      <c r="E12" s="288"/>
      <c r="F12" s="288"/>
      <c r="G12" s="288"/>
      <c r="H12" s="288"/>
      <c r="I12" s="288"/>
      <c r="J12" s="288"/>
      <c r="K12" s="288"/>
      <c r="L12" s="83"/>
    </row>
    <row r="13" spans="1:12" ht="19" x14ac:dyDescent="0.25">
      <c r="A13" s="280" t="s">
        <v>351</v>
      </c>
      <c r="B13" s="288"/>
      <c r="C13" s="288"/>
      <c r="D13" s="288"/>
      <c r="E13" s="288"/>
      <c r="F13" s="288"/>
      <c r="G13" s="288"/>
      <c r="H13" s="288"/>
      <c r="I13" s="288"/>
      <c r="J13" s="288"/>
      <c r="K13" s="288"/>
      <c r="L13" s="83"/>
    </row>
    <row r="14" spans="1:12" ht="19" x14ac:dyDescent="0.25">
      <c r="A14" s="280" t="s">
        <v>352</v>
      </c>
      <c r="B14" s="291">
        <v>18</v>
      </c>
      <c r="C14" s="290">
        <v>-390</v>
      </c>
      <c r="D14" s="291">
        <v>548</v>
      </c>
      <c r="E14" s="291">
        <v>267</v>
      </c>
      <c r="F14" s="290">
        <v>-357</v>
      </c>
      <c r="G14" s="290">
        <v>-523</v>
      </c>
      <c r="H14" s="290">
        <v>-676</v>
      </c>
      <c r="I14" s="290">
        <v>-330</v>
      </c>
      <c r="J14" s="290">
        <v>-635</v>
      </c>
      <c r="K14" s="290">
        <v>-251</v>
      </c>
      <c r="L14" s="83"/>
    </row>
    <row r="15" spans="1:12" ht="19" x14ac:dyDescent="0.25">
      <c r="A15" s="280" t="s">
        <v>353</v>
      </c>
      <c r="B15" s="291">
        <v>60</v>
      </c>
      <c r="C15" s="290">
        <v>-426</v>
      </c>
      <c r="D15" s="291">
        <v>187</v>
      </c>
      <c r="E15" s="290">
        <v>-270</v>
      </c>
      <c r="F15" s="281">
        <v>1239</v>
      </c>
      <c r="G15" s="287">
        <v>-1606</v>
      </c>
      <c r="H15" s="290">
        <v>-504</v>
      </c>
      <c r="I15" s="291">
        <v>489</v>
      </c>
      <c r="J15" s="290">
        <v>-329</v>
      </c>
      <c r="K15" s="290">
        <v>-257</v>
      </c>
      <c r="L15" s="83"/>
    </row>
    <row r="16" spans="1:12" ht="19" x14ac:dyDescent="0.25">
      <c r="A16" s="280" t="s">
        <v>354</v>
      </c>
      <c r="B16" s="290">
        <v>-590</v>
      </c>
      <c r="C16" s="290">
        <v>-231</v>
      </c>
      <c r="D16" s="290">
        <v>-255</v>
      </c>
      <c r="E16" s="290">
        <v>-490</v>
      </c>
      <c r="F16" s="287">
        <v>-1854</v>
      </c>
      <c r="G16" s="291">
        <v>507</v>
      </c>
      <c r="H16" s="287">
        <v>-1676</v>
      </c>
      <c r="I16" s="290">
        <v>-133</v>
      </c>
      <c r="J16" s="291">
        <v>908</v>
      </c>
      <c r="K16" s="291">
        <v>120</v>
      </c>
      <c r="L16" s="83"/>
    </row>
    <row r="17" spans="1:12" ht="19" x14ac:dyDescent="0.25">
      <c r="A17" s="280" t="s">
        <v>355</v>
      </c>
      <c r="B17" s="290">
        <v>-586</v>
      </c>
      <c r="C17" s="290">
        <v>-158</v>
      </c>
      <c r="D17" s="281">
        <v>1515</v>
      </c>
      <c r="E17" s="281">
        <v>1525</v>
      </c>
      <c r="F17" s="291">
        <v>24</v>
      </c>
      <c r="G17" s="281">
        <v>1326</v>
      </c>
      <c r="H17" s="281">
        <v>1365</v>
      </c>
      <c r="I17" s="290">
        <v>-225</v>
      </c>
      <c r="J17" s="291">
        <v>397</v>
      </c>
      <c r="K17" s="290">
        <v>-426</v>
      </c>
      <c r="L17" s="83"/>
    </row>
    <row r="18" spans="1:12" ht="19" x14ac:dyDescent="0.25">
      <c r="A18" s="280" t="s">
        <v>356</v>
      </c>
      <c r="B18" s="290">
        <v>-161</v>
      </c>
      <c r="C18" s="290">
        <v>-120</v>
      </c>
      <c r="D18" s="291">
        <v>35</v>
      </c>
      <c r="E18" s="290">
        <v>-203</v>
      </c>
      <c r="F18" s="290">
        <v>-654</v>
      </c>
      <c r="G18" s="290">
        <v>-182</v>
      </c>
      <c r="H18" s="290">
        <v>-845</v>
      </c>
      <c r="I18" s="290">
        <v>-644</v>
      </c>
      <c r="J18" s="290">
        <v>-260</v>
      </c>
      <c r="K18" s="290">
        <v>-224</v>
      </c>
      <c r="L18" s="83"/>
    </row>
    <row r="19" spans="1:12" ht="19" x14ac:dyDescent="0.25">
      <c r="A19" s="282" t="s">
        <v>357</v>
      </c>
      <c r="B19" s="283">
        <v>3399</v>
      </c>
      <c r="C19" s="283">
        <v>3846</v>
      </c>
      <c r="D19" s="283">
        <v>4955</v>
      </c>
      <c r="E19" s="283">
        <v>5903</v>
      </c>
      <c r="F19" s="283">
        <v>2485</v>
      </c>
      <c r="G19" s="283">
        <v>6657</v>
      </c>
      <c r="H19" s="283">
        <v>5188</v>
      </c>
      <c r="I19" s="283">
        <v>5841</v>
      </c>
      <c r="J19" s="283">
        <v>7429</v>
      </c>
      <c r="K19" s="283">
        <v>3698</v>
      </c>
      <c r="L19" s="83"/>
    </row>
    <row r="20" spans="1:12" ht="19" x14ac:dyDescent="0.25">
      <c r="A20" s="292" t="s">
        <v>358</v>
      </c>
      <c r="B20" s="305">
        <v>-1277</v>
      </c>
      <c r="C20" s="302">
        <v>-935</v>
      </c>
      <c r="D20" s="303">
        <v>1482</v>
      </c>
      <c r="E20" s="304">
        <v>562</v>
      </c>
      <c r="F20" s="305">
        <v>-1245</v>
      </c>
      <c r="G20" s="304">
        <v>45</v>
      </c>
      <c r="H20" s="305">
        <v>-1660</v>
      </c>
      <c r="I20" s="302">
        <v>-513</v>
      </c>
      <c r="J20" s="304">
        <v>716</v>
      </c>
      <c r="K20" s="302">
        <v>-787</v>
      </c>
      <c r="L20" s="83"/>
    </row>
    <row r="21" spans="1:12" ht="19" x14ac:dyDescent="0.25">
      <c r="A21" s="280" t="s">
        <v>359</v>
      </c>
      <c r="B21" s="287">
        <v>-1143</v>
      </c>
      <c r="C21" s="287">
        <v>-1105</v>
      </c>
      <c r="D21" s="287">
        <v>-1028</v>
      </c>
      <c r="E21" s="287">
        <v>-1119</v>
      </c>
      <c r="F21" s="287">
        <v>-1086</v>
      </c>
      <c r="G21" s="290">
        <v>-695</v>
      </c>
      <c r="H21" s="290">
        <v>-758</v>
      </c>
      <c r="I21" s="290">
        <v>-969</v>
      </c>
      <c r="J21" s="290">
        <v>-812</v>
      </c>
      <c r="K21" s="290">
        <v>-430</v>
      </c>
      <c r="L21" s="83"/>
    </row>
    <row r="22" spans="1:12" ht="19" x14ac:dyDescent="0.25">
      <c r="A22" s="280" t="s">
        <v>360</v>
      </c>
      <c r="B22" s="291">
        <v>10</v>
      </c>
      <c r="C22" s="291">
        <v>13</v>
      </c>
      <c r="D22" s="288"/>
      <c r="E22" s="288"/>
      <c r="F22" s="288"/>
      <c r="G22" s="288"/>
      <c r="H22" s="288"/>
      <c r="I22" s="288"/>
      <c r="J22" s="288"/>
      <c r="K22" s="288"/>
      <c r="L22" s="83"/>
    </row>
    <row r="23" spans="1:12" ht="19" x14ac:dyDescent="0.25">
      <c r="A23" s="280" t="s">
        <v>361</v>
      </c>
      <c r="B23" s="288"/>
      <c r="C23" s="288"/>
      <c r="D23" s="288"/>
      <c r="E23" s="288"/>
      <c r="F23" s="288"/>
      <c r="G23" s="288"/>
      <c r="H23" s="288"/>
      <c r="I23" s="288"/>
      <c r="J23" s="288"/>
      <c r="K23" s="288"/>
      <c r="L23" s="83"/>
    </row>
    <row r="24" spans="1:12" ht="19" x14ac:dyDescent="0.25">
      <c r="A24" s="280" t="s">
        <v>362</v>
      </c>
      <c r="B24" s="288"/>
      <c r="C24" s="288"/>
      <c r="D24" s="288"/>
      <c r="E24" s="288"/>
      <c r="F24" s="288"/>
      <c r="G24" s="288"/>
      <c r="H24" s="288"/>
      <c r="I24" s="288"/>
      <c r="J24" s="288"/>
      <c r="K24" s="288"/>
      <c r="L24" s="83"/>
    </row>
    <row r="25" spans="1:12" ht="19" x14ac:dyDescent="0.25">
      <c r="A25" s="280" t="s">
        <v>363</v>
      </c>
      <c r="B25" s="290">
        <v>-57</v>
      </c>
      <c r="C25" s="291">
        <v>118</v>
      </c>
      <c r="D25" s="281">
        <v>1326</v>
      </c>
      <c r="E25" s="291">
        <v>850</v>
      </c>
      <c r="F25" s="291">
        <v>27</v>
      </c>
      <c r="G25" s="287">
        <v>-3276</v>
      </c>
      <c r="H25" s="290">
        <v>-747</v>
      </c>
      <c r="I25" s="281">
        <v>1481</v>
      </c>
      <c r="J25" s="281">
        <v>1721</v>
      </c>
      <c r="K25" s="291">
        <v>147</v>
      </c>
      <c r="L25" s="83"/>
    </row>
    <row r="26" spans="1:12" ht="19" x14ac:dyDescent="0.25">
      <c r="A26" s="280" t="s">
        <v>364</v>
      </c>
      <c r="B26" s="291">
        <v>156</v>
      </c>
      <c r="C26" s="290">
        <v>-34</v>
      </c>
      <c r="D26" s="290">
        <v>-22</v>
      </c>
      <c r="E26" s="291">
        <v>5</v>
      </c>
      <c r="F26" s="291">
        <v>31</v>
      </c>
      <c r="G26" s="291">
        <v>171</v>
      </c>
      <c r="H26" s="290">
        <v>-19</v>
      </c>
      <c r="I26" s="291">
        <v>52</v>
      </c>
      <c r="J26" s="290">
        <v>-15</v>
      </c>
      <c r="K26" s="291">
        <v>8</v>
      </c>
      <c r="L26" s="83"/>
    </row>
    <row r="27" spans="1:12" ht="19" x14ac:dyDescent="0.25">
      <c r="A27" s="282" t="s">
        <v>365</v>
      </c>
      <c r="B27" s="289">
        <v>-1034</v>
      </c>
      <c r="C27" s="289">
        <v>-1008</v>
      </c>
      <c r="D27" s="301">
        <v>276</v>
      </c>
      <c r="E27" s="306">
        <v>-264</v>
      </c>
      <c r="F27" s="289">
        <v>-1028</v>
      </c>
      <c r="G27" s="289">
        <v>-3800</v>
      </c>
      <c r="H27" s="289">
        <v>-1524</v>
      </c>
      <c r="I27" s="301">
        <v>564</v>
      </c>
      <c r="J27" s="301">
        <v>894</v>
      </c>
      <c r="K27" s="306">
        <v>-275</v>
      </c>
      <c r="L27" s="83"/>
    </row>
    <row r="28" spans="1:12" ht="19" x14ac:dyDescent="0.25">
      <c r="A28" s="280" t="s">
        <v>366</v>
      </c>
      <c r="B28" s="291">
        <v>981</v>
      </c>
      <c r="C28" s="281">
        <v>1809</v>
      </c>
      <c r="D28" s="291">
        <v>13</v>
      </c>
      <c r="E28" s="288"/>
      <c r="F28" s="281">
        <v>6183</v>
      </c>
      <c r="G28" s="288"/>
      <c r="H28" s="291">
        <v>15</v>
      </c>
      <c r="I28" s="288"/>
      <c r="J28" s="288"/>
      <c r="K28" s="288"/>
      <c r="L28" s="83"/>
    </row>
    <row r="29" spans="1:12" ht="19" x14ac:dyDescent="0.25">
      <c r="A29" s="280" t="s">
        <v>367</v>
      </c>
      <c r="B29" s="290">
        <v>-180</v>
      </c>
      <c r="C29" s="290">
        <v>-61</v>
      </c>
      <c r="D29" s="288"/>
      <c r="E29" s="290">
        <v>-331</v>
      </c>
      <c r="F29" s="290">
        <v>-6</v>
      </c>
      <c r="G29" s="290">
        <v>-249</v>
      </c>
      <c r="H29" s="288"/>
      <c r="I29" s="290">
        <v>-504</v>
      </c>
      <c r="J29" s="288"/>
      <c r="K29" s="287">
        <v>-1001</v>
      </c>
      <c r="L29" s="83"/>
    </row>
    <row r="30" spans="1:12" ht="19" x14ac:dyDescent="0.25">
      <c r="A30" s="280" t="s">
        <v>368</v>
      </c>
      <c r="B30" s="291">
        <v>507</v>
      </c>
      <c r="C30" s="291">
        <v>489</v>
      </c>
      <c r="D30" s="291">
        <v>733</v>
      </c>
      <c r="E30" s="291">
        <v>700</v>
      </c>
      <c r="F30" s="291">
        <v>885</v>
      </c>
      <c r="G30" s="281">
        <v>1172</v>
      </c>
      <c r="H30" s="281">
        <v>1151</v>
      </c>
      <c r="I30" s="291">
        <v>651</v>
      </c>
      <c r="J30" s="291">
        <v>667</v>
      </c>
      <c r="K30" s="291">
        <v>551</v>
      </c>
      <c r="L30" s="83"/>
    </row>
    <row r="31" spans="1:12" ht="19" x14ac:dyDescent="0.25">
      <c r="A31" s="280" t="s">
        <v>369</v>
      </c>
      <c r="B31" s="287">
        <v>-3260</v>
      </c>
      <c r="C31" s="287">
        <v>-3252</v>
      </c>
      <c r="D31" s="287">
        <v>-4254</v>
      </c>
      <c r="E31" s="287">
        <v>-4286</v>
      </c>
      <c r="F31" s="287">
        <v>-3067</v>
      </c>
      <c r="G31" s="290">
        <v>-608</v>
      </c>
      <c r="H31" s="287">
        <v>-4014</v>
      </c>
      <c r="I31" s="287">
        <v>-5480</v>
      </c>
      <c r="J31" s="287">
        <v>-4250</v>
      </c>
      <c r="K31" s="287">
        <v>-2985</v>
      </c>
      <c r="L31" s="83"/>
    </row>
    <row r="32" spans="1:12" ht="19" x14ac:dyDescent="0.25">
      <c r="A32" s="280" t="s">
        <v>370</v>
      </c>
      <c r="B32" s="287">
        <v>-1022</v>
      </c>
      <c r="C32" s="287">
        <v>-1133</v>
      </c>
      <c r="D32" s="287">
        <v>-1243</v>
      </c>
      <c r="E32" s="287">
        <v>-1332</v>
      </c>
      <c r="F32" s="287">
        <v>-1452</v>
      </c>
      <c r="G32" s="287">
        <v>-1638</v>
      </c>
      <c r="H32" s="287">
        <v>-1837</v>
      </c>
      <c r="I32" s="287">
        <v>-2012</v>
      </c>
      <c r="J32" s="287">
        <v>-2169</v>
      </c>
      <c r="K32" s="287">
        <v>-2300</v>
      </c>
      <c r="L32" s="83"/>
    </row>
    <row r="33" spans="1:12" ht="19" x14ac:dyDescent="0.25">
      <c r="A33" s="280" t="s">
        <v>371</v>
      </c>
      <c r="B33" s="287">
        <v>-1022</v>
      </c>
      <c r="C33" s="287">
        <v>-1133</v>
      </c>
      <c r="D33" s="287">
        <v>-1243</v>
      </c>
      <c r="E33" s="287">
        <v>-1332</v>
      </c>
      <c r="F33" s="287">
        <v>-1452</v>
      </c>
      <c r="G33" s="287">
        <v>-1638</v>
      </c>
      <c r="H33" s="287">
        <v>-1837</v>
      </c>
      <c r="I33" s="287">
        <v>-2012</v>
      </c>
      <c r="J33" s="287">
        <v>-2169</v>
      </c>
      <c r="K33" s="287">
        <v>-2300</v>
      </c>
      <c r="L33" s="83"/>
    </row>
    <row r="34" spans="1:12" ht="19" x14ac:dyDescent="0.25">
      <c r="A34" s="280" t="s">
        <v>372</v>
      </c>
      <c r="B34" s="288"/>
      <c r="C34" s="288"/>
      <c r="D34" s="290">
        <v>-84</v>
      </c>
      <c r="E34" s="290">
        <v>-44</v>
      </c>
      <c r="F34" s="290">
        <v>-52</v>
      </c>
      <c r="G34" s="290">
        <v>-136</v>
      </c>
      <c r="H34" s="290">
        <v>-151</v>
      </c>
      <c r="I34" s="290">
        <v>-102</v>
      </c>
      <c r="J34" s="290">
        <v>-136</v>
      </c>
      <c r="K34" s="290">
        <v>-85</v>
      </c>
      <c r="L34" s="83"/>
    </row>
    <row r="35" spans="1:12" ht="19" x14ac:dyDescent="0.25">
      <c r="A35" s="282" t="s">
        <v>373</v>
      </c>
      <c r="B35" s="289">
        <v>-2974</v>
      </c>
      <c r="C35" s="289">
        <v>-2148</v>
      </c>
      <c r="D35" s="289">
        <v>-4835</v>
      </c>
      <c r="E35" s="289">
        <v>-5293</v>
      </c>
      <c r="F35" s="283">
        <v>2491</v>
      </c>
      <c r="G35" s="289">
        <v>-1459</v>
      </c>
      <c r="H35" s="289">
        <v>-4836</v>
      </c>
      <c r="I35" s="289">
        <v>-7447</v>
      </c>
      <c r="J35" s="289">
        <v>-5888</v>
      </c>
      <c r="K35" s="289">
        <v>-5820</v>
      </c>
      <c r="L35" s="83"/>
    </row>
    <row r="36" spans="1:12" ht="19" x14ac:dyDescent="0.25">
      <c r="A36" s="280" t="s">
        <v>374</v>
      </c>
      <c r="B36" s="290">
        <v>-105</v>
      </c>
      <c r="C36" s="290">
        <v>-20</v>
      </c>
      <c r="D36" s="291">
        <v>45</v>
      </c>
      <c r="E36" s="290">
        <v>-129</v>
      </c>
      <c r="F36" s="290">
        <v>-66</v>
      </c>
      <c r="G36" s="291">
        <v>143</v>
      </c>
      <c r="H36" s="290">
        <v>-143</v>
      </c>
      <c r="I36" s="290">
        <v>-91</v>
      </c>
      <c r="J36" s="290">
        <v>-16</v>
      </c>
      <c r="K36" s="291">
        <v>1</v>
      </c>
      <c r="L36" s="83"/>
    </row>
    <row r="37" spans="1:12" ht="19" x14ac:dyDescent="0.25">
      <c r="A37" s="282" t="s">
        <v>375</v>
      </c>
      <c r="B37" s="306">
        <v>-714</v>
      </c>
      <c r="C37" s="301">
        <v>670</v>
      </c>
      <c r="D37" s="301">
        <v>441</v>
      </c>
      <c r="E37" s="301">
        <v>217</v>
      </c>
      <c r="F37" s="283">
        <v>3882</v>
      </c>
      <c r="G37" s="283">
        <v>1541</v>
      </c>
      <c r="H37" s="289">
        <v>-1315</v>
      </c>
      <c r="I37" s="289">
        <v>-1133</v>
      </c>
      <c r="J37" s="283">
        <v>2419</v>
      </c>
      <c r="K37" s="289">
        <v>-2396</v>
      </c>
      <c r="L37" s="83"/>
    </row>
    <row r="38" spans="1:12" ht="19" x14ac:dyDescent="0.25">
      <c r="A38" s="284" t="s">
        <v>266</v>
      </c>
      <c r="B38"/>
      <c r="C38"/>
      <c r="D38"/>
      <c r="E38"/>
      <c r="F38"/>
      <c r="G38"/>
      <c r="H38"/>
      <c r="I38"/>
      <c r="J38"/>
      <c r="K38"/>
      <c r="L38" s="83"/>
    </row>
    <row r="39" spans="1:12" ht="19" x14ac:dyDescent="0.25">
      <c r="A39" s="282" t="s">
        <v>376</v>
      </c>
      <c r="B39" s="283">
        <v>2256</v>
      </c>
      <c r="C39" s="283">
        <v>2741</v>
      </c>
      <c r="D39" s="283">
        <v>3927</v>
      </c>
      <c r="E39" s="283">
        <v>4784</v>
      </c>
      <c r="F39" s="283">
        <v>1399</v>
      </c>
      <c r="G39" s="283">
        <v>5962</v>
      </c>
      <c r="H39" s="283">
        <v>4430</v>
      </c>
      <c r="I39" s="283">
        <v>4872</v>
      </c>
      <c r="J39" s="283">
        <v>6617</v>
      </c>
      <c r="K39" s="283">
        <v>3268</v>
      </c>
      <c r="L39" s="83"/>
    </row>
    <row r="40" spans="1:12" ht="19" x14ac:dyDescent="0.25">
      <c r="A40" s="284" t="s">
        <v>236</v>
      </c>
      <c r="B40" s="286">
        <v>-0.39300000000000002</v>
      </c>
      <c r="C40" s="285">
        <v>0.215</v>
      </c>
      <c r="D40" s="285">
        <v>0.433</v>
      </c>
      <c r="E40" s="285">
        <v>0.218</v>
      </c>
      <c r="F40" s="286">
        <v>-0.70799999999999996</v>
      </c>
      <c r="G40" s="285">
        <v>3.262</v>
      </c>
      <c r="H40" s="286">
        <v>-0.25700000000000001</v>
      </c>
      <c r="I40" s="285">
        <v>0.1</v>
      </c>
      <c r="J40" s="285">
        <v>0.35799999999999998</v>
      </c>
      <c r="K40" s="286">
        <v>-0.50600000000000001</v>
      </c>
      <c r="L40" s="83"/>
    </row>
    <row r="41" spans="1:12" ht="19" x14ac:dyDescent="0.25">
      <c r="A41" s="284" t="s">
        <v>377</v>
      </c>
      <c r="B41" s="285">
        <v>7.0000000000000007E-2</v>
      </c>
      <c r="C41" s="285">
        <v>0.08</v>
      </c>
      <c r="D41" s="285">
        <v>0.108</v>
      </c>
      <c r="E41" s="285">
        <v>0.122</v>
      </c>
      <c r="F41" s="285">
        <v>3.6999999999999998E-2</v>
      </c>
      <c r="G41" s="285">
        <v>0.13400000000000001</v>
      </c>
      <c r="H41" s="285">
        <v>9.5000000000000001E-2</v>
      </c>
      <c r="I41" s="285">
        <v>9.5000000000000001E-2</v>
      </c>
      <c r="J41" s="285">
        <v>0.129</v>
      </c>
      <c r="K41" s="285">
        <v>7.0999999999999994E-2</v>
      </c>
      <c r="L41" s="83"/>
    </row>
    <row r="42" spans="1:12" ht="19" x14ac:dyDescent="0.25">
      <c r="A42" s="280" t="s">
        <v>378</v>
      </c>
      <c r="B42" s="281">
        <v>3852</v>
      </c>
      <c r="C42" s="281">
        <v>3138</v>
      </c>
      <c r="D42" s="281">
        <v>3808</v>
      </c>
      <c r="E42" s="281">
        <v>4249</v>
      </c>
      <c r="F42" s="281">
        <v>4466</v>
      </c>
      <c r="G42" s="281">
        <v>8348</v>
      </c>
      <c r="H42" s="281">
        <v>9889</v>
      </c>
      <c r="I42" s="281">
        <v>8574</v>
      </c>
      <c r="J42" s="281">
        <v>7441</v>
      </c>
      <c r="K42" s="281">
        <v>9860</v>
      </c>
      <c r="L42" s="83"/>
    </row>
    <row r="43" spans="1:12" ht="19" x14ac:dyDescent="0.25">
      <c r="A43" s="280" t="s">
        <v>379</v>
      </c>
      <c r="B43" s="281">
        <v>3138</v>
      </c>
      <c r="C43" s="281">
        <v>3808</v>
      </c>
      <c r="D43" s="281">
        <v>4249</v>
      </c>
      <c r="E43" s="281">
        <v>4466</v>
      </c>
      <c r="F43" s="281">
        <v>8348</v>
      </c>
      <c r="G43" s="281">
        <v>9889</v>
      </c>
      <c r="H43" s="281">
        <v>8574</v>
      </c>
      <c r="I43" s="281">
        <v>7441</v>
      </c>
      <c r="J43" s="281">
        <v>9860</v>
      </c>
      <c r="K43" s="281">
        <v>7464</v>
      </c>
      <c r="L43" s="83"/>
    </row>
    <row r="44" spans="1:12" ht="19" x14ac:dyDescent="0.25">
      <c r="A44" s="280" t="s">
        <v>380</v>
      </c>
      <c r="B44" s="291">
        <v>70</v>
      </c>
      <c r="C44" s="291">
        <v>98</v>
      </c>
      <c r="D44" s="291">
        <v>125</v>
      </c>
      <c r="E44" s="291">
        <v>153</v>
      </c>
      <c r="F44" s="291">
        <v>140</v>
      </c>
      <c r="G44" s="291">
        <v>293</v>
      </c>
      <c r="H44" s="291">
        <v>290</v>
      </c>
      <c r="I44" s="291">
        <v>347</v>
      </c>
      <c r="J44" s="291">
        <v>381</v>
      </c>
      <c r="K44" s="291">
        <v>389</v>
      </c>
      <c r="L44" s="83"/>
    </row>
    <row r="45" spans="1:12" ht="19" x14ac:dyDescent="0.25">
      <c r="A45" s="280" t="s">
        <v>381</v>
      </c>
      <c r="B45" s="291">
        <v>748</v>
      </c>
      <c r="C45" s="291">
        <v>703</v>
      </c>
      <c r="D45" s="291">
        <v>529</v>
      </c>
      <c r="E45" s="291">
        <v>757</v>
      </c>
      <c r="F45" s="281">
        <v>1028</v>
      </c>
      <c r="G45" s="281">
        <v>1177</v>
      </c>
      <c r="H45" s="281">
        <v>1231</v>
      </c>
      <c r="I45" s="281">
        <v>1517</v>
      </c>
      <c r="J45" s="281">
        <v>1299</v>
      </c>
      <c r="K45" s="281">
        <v>1226</v>
      </c>
      <c r="L45" s="83"/>
    </row>
    <row r="46" spans="1:12" ht="19" x14ac:dyDescent="0.25">
      <c r="A46" s="280" t="s">
        <v>382</v>
      </c>
      <c r="B46" s="291">
        <v>1.33</v>
      </c>
      <c r="C46" s="291">
        <v>1.65</v>
      </c>
      <c r="D46" s="291">
        <v>2.42</v>
      </c>
      <c r="E46" s="291">
        <v>3.03</v>
      </c>
      <c r="F46" s="291">
        <v>0.9</v>
      </c>
      <c r="G46" s="291">
        <v>3.79</v>
      </c>
      <c r="H46" s="291">
        <v>2.81</v>
      </c>
      <c r="I46" s="291">
        <v>3.14</v>
      </c>
      <c r="J46" s="291">
        <v>4.3600000000000003</v>
      </c>
      <c r="K46" s="291">
        <v>2.2000000000000002</v>
      </c>
      <c r="L46" s="83"/>
    </row>
    <row r="47" spans="1:12" ht="16" x14ac:dyDescent="0.2">
      <c r="A47" s="298" t="s">
        <v>283</v>
      </c>
      <c r="B47"/>
      <c r="C47"/>
      <c r="D47"/>
      <c r="E47"/>
      <c r="F47"/>
      <c r="G47"/>
      <c r="H47"/>
      <c r="I47"/>
      <c r="J47"/>
      <c r="K47"/>
      <c r="L47" s="83"/>
    </row>
    <row r="48" spans="1:12" ht="16" x14ac:dyDescent="0.2">
      <c r="A48" s="298" t="s">
        <v>284</v>
      </c>
      <c r="B48"/>
      <c r="C48"/>
      <c r="D48"/>
      <c r="E48"/>
      <c r="F48"/>
      <c r="G48"/>
      <c r="H48"/>
      <c r="I48"/>
      <c r="J48"/>
      <c r="K48" s="83"/>
      <c r="L48" s="83"/>
    </row>
    <row r="49" spans="1:12" x14ac:dyDescent="0.2">
      <c r="A49" s="299" t="s">
        <v>285</v>
      </c>
      <c r="B49"/>
      <c r="C49"/>
      <c r="D49"/>
      <c r="E49"/>
      <c r="F49"/>
      <c r="G49"/>
      <c r="H49"/>
      <c r="I49"/>
      <c r="J49"/>
      <c r="K49" s="83"/>
      <c r="L49" s="83"/>
    </row>
    <row r="50" spans="1:12" x14ac:dyDescent="0.2">
      <c r="A50" s="299" t="s">
        <v>286</v>
      </c>
      <c r="B50"/>
      <c r="C50"/>
      <c r="D50"/>
      <c r="E50"/>
      <c r="F50"/>
      <c r="G50"/>
      <c r="H50"/>
      <c r="I50"/>
      <c r="J50"/>
      <c r="K50" s="83"/>
      <c r="L50" s="83"/>
    </row>
    <row r="51" spans="1:12" x14ac:dyDescent="0.2">
      <c r="A51" s="81"/>
      <c r="B51" s="83"/>
      <c r="C51" s="83"/>
      <c r="D51" s="83"/>
      <c r="E51" s="83"/>
      <c r="F51" s="83"/>
      <c r="G51" s="83"/>
      <c r="H51" s="83"/>
      <c r="I51" s="83"/>
      <c r="J51" s="83"/>
      <c r="K51" s="83"/>
      <c r="L51" s="83"/>
    </row>
    <row r="52" spans="1:12" x14ac:dyDescent="0.2">
      <c r="A52" s="81"/>
      <c r="B52" s="82"/>
      <c r="C52" s="82"/>
      <c r="D52" s="82"/>
      <c r="E52" s="82"/>
      <c r="F52" s="82"/>
      <c r="G52" s="82"/>
      <c r="H52" s="82"/>
      <c r="I52" s="82"/>
      <c r="J52" s="82"/>
      <c r="K52" s="82"/>
      <c r="L52" s="82"/>
    </row>
    <row r="53" spans="1:12" x14ac:dyDescent="0.2">
      <c r="A53" s="81"/>
      <c r="B53" s="83"/>
      <c r="C53" s="83"/>
      <c r="D53" s="83"/>
      <c r="E53" s="83"/>
      <c r="F53" s="83"/>
      <c r="G53" s="83"/>
      <c r="H53" s="83"/>
      <c r="I53" s="83"/>
      <c r="J53" s="83"/>
      <c r="K53" s="83"/>
      <c r="L53" s="83"/>
    </row>
    <row r="54" spans="1:12" x14ac:dyDescent="0.2">
      <c r="A54" s="81"/>
      <c r="B54" s="83"/>
      <c r="C54" s="83"/>
      <c r="D54" s="83"/>
      <c r="E54" s="83"/>
      <c r="F54" s="83"/>
      <c r="G54" s="83"/>
      <c r="H54" s="83"/>
      <c r="I54" s="83"/>
      <c r="J54" s="83"/>
      <c r="K54" s="83"/>
      <c r="L54" s="83"/>
    </row>
    <row r="55" spans="1:12" x14ac:dyDescent="0.2">
      <c r="A55" s="81"/>
      <c r="B55" s="83"/>
      <c r="C55" s="83"/>
      <c r="D55" s="83"/>
      <c r="E55" s="83"/>
      <c r="F55" s="83"/>
      <c r="G55" s="83"/>
      <c r="H55" s="83"/>
      <c r="I55" s="83"/>
      <c r="J55" s="83"/>
      <c r="K55" s="83"/>
      <c r="L55" s="83"/>
    </row>
    <row r="56" spans="1:12" x14ac:dyDescent="0.2">
      <c r="A56" s="81"/>
      <c r="B56" s="83"/>
      <c r="C56" s="83"/>
      <c r="D56" s="83"/>
      <c r="E56" s="83"/>
      <c r="F56" s="83"/>
      <c r="G56" s="83"/>
      <c r="H56" s="83"/>
      <c r="I56" s="83"/>
      <c r="J56" s="83"/>
      <c r="K56" s="83"/>
      <c r="L56" s="83"/>
    </row>
    <row r="57" spans="1:12" x14ac:dyDescent="0.2">
      <c r="A57" s="81"/>
      <c r="B57" s="83"/>
      <c r="C57" s="83"/>
      <c r="D57" s="83"/>
      <c r="E57" s="83"/>
      <c r="F57" s="83"/>
      <c r="G57" s="83"/>
      <c r="H57" s="83"/>
      <c r="I57" s="83"/>
      <c r="J57" s="83"/>
      <c r="K57" s="83"/>
      <c r="L57" s="83"/>
    </row>
    <row r="58" spans="1:12" x14ac:dyDescent="0.2">
      <c r="A58" s="81"/>
      <c r="B58" s="83"/>
      <c r="C58" s="83"/>
      <c r="D58" s="83"/>
      <c r="E58" s="83"/>
      <c r="F58" s="83"/>
      <c r="G58" s="83"/>
      <c r="H58" s="83"/>
      <c r="I58" s="83"/>
      <c r="J58" s="83"/>
      <c r="K58" s="83"/>
      <c r="L58" s="83"/>
    </row>
    <row r="59" spans="1:12" x14ac:dyDescent="0.2">
      <c r="A59" s="81"/>
      <c r="B59" s="83"/>
      <c r="C59" s="83"/>
      <c r="D59" s="83"/>
      <c r="E59" s="83"/>
      <c r="F59" s="83"/>
      <c r="G59" s="83"/>
      <c r="H59" s="83"/>
      <c r="I59" s="83"/>
      <c r="J59" s="83"/>
      <c r="K59" s="83"/>
      <c r="L59" s="83"/>
    </row>
    <row r="60" spans="1:12" x14ac:dyDescent="0.2">
      <c r="A60" s="81"/>
      <c r="B60" s="83"/>
      <c r="C60" s="83"/>
      <c r="D60" s="83"/>
      <c r="E60" s="83"/>
      <c r="F60" s="83"/>
      <c r="G60" s="83"/>
      <c r="H60" s="83"/>
      <c r="I60" s="83"/>
      <c r="J60" s="83"/>
      <c r="K60" s="83"/>
      <c r="L60" s="83"/>
    </row>
    <row r="61" spans="1:12" x14ac:dyDescent="0.2">
      <c r="A61" s="81"/>
      <c r="B61" s="82"/>
      <c r="C61" s="82"/>
      <c r="D61" s="82"/>
      <c r="E61" s="82"/>
      <c r="F61" s="82"/>
      <c r="G61" s="82"/>
      <c r="H61" s="82"/>
      <c r="I61" s="82"/>
      <c r="J61" s="82"/>
      <c r="K61" s="82"/>
      <c r="L61" s="82"/>
    </row>
    <row r="62" spans="1:12" x14ac:dyDescent="0.2">
      <c r="A62" s="81"/>
      <c r="B62" s="83"/>
      <c r="C62" s="83"/>
      <c r="D62" s="83"/>
      <c r="E62" s="83"/>
      <c r="F62" s="83"/>
      <c r="G62" s="83"/>
      <c r="H62" s="83"/>
      <c r="I62" s="83"/>
      <c r="J62" s="83"/>
      <c r="K62" s="83"/>
      <c r="L62" s="83"/>
    </row>
    <row r="63" spans="1:12" x14ac:dyDescent="0.2">
      <c r="A63" s="81"/>
      <c r="B63" s="83"/>
      <c r="C63" s="83"/>
      <c r="D63" s="83"/>
      <c r="E63" s="83"/>
      <c r="F63" s="83"/>
      <c r="G63" s="83"/>
      <c r="H63" s="83"/>
      <c r="I63" s="83"/>
      <c r="J63" s="83"/>
      <c r="K63" s="83"/>
      <c r="L63" s="83"/>
    </row>
    <row r="64" spans="1:12" x14ac:dyDescent="0.2">
      <c r="A64" s="81"/>
      <c r="B64" s="82"/>
      <c r="C64" s="82"/>
      <c r="D64" s="82"/>
      <c r="E64" s="82"/>
      <c r="F64" s="82"/>
      <c r="G64" s="82"/>
      <c r="H64" s="82"/>
      <c r="I64" s="82"/>
      <c r="J64" s="82"/>
      <c r="K64" s="83"/>
      <c r="L64" s="83"/>
    </row>
    <row r="65" spans="1:12" x14ac:dyDescent="0.2">
      <c r="A65" s="81"/>
      <c r="B65" s="83"/>
      <c r="C65" s="83"/>
      <c r="D65" s="83"/>
      <c r="E65" s="83"/>
      <c r="F65" s="83"/>
      <c r="G65" s="83"/>
      <c r="H65" s="83"/>
      <c r="I65" s="83"/>
      <c r="J65" s="83"/>
      <c r="K65" s="83"/>
      <c r="L65" s="83"/>
    </row>
    <row r="66" spans="1:12" x14ac:dyDescent="0.2">
      <c r="A66" s="81"/>
      <c r="B66" s="82"/>
      <c r="C66" s="82"/>
      <c r="D66" s="82"/>
      <c r="E66" s="82"/>
      <c r="F66" s="82"/>
      <c r="G66" s="82"/>
      <c r="H66" s="82"/>
      <c r="I66" s="82"/>
      <c r="J66" s="82"/>
      <c r="K66" s="82"/>
      <c r="L66" s="82"/>
    </row>
    <row r="67" spans="1:12" x14ac:dyDescent="0.2">
      <c r="A67" s="81"/>
      <c r="B67" s="82"/>
      <c r="C67" s="82"/>
      <c r="D67" s="82"/>
      <c r="E67" s="82"/>
      <c r="F67" s="82"/>
      <c r="G67" s="82"/>
      <c r="H67" s="82"/>
      <c r="I67" s="82"/>
      <c r="J67" s="82"/>
      <c r="K67" s="82"/>
      <c r="L67" s="82"/>
    </row>
    <row r="68" spans="1:12" x14ac:dyDescent="0.2">
      <c r="A68" s="81"/>
      <c r="B68" s="82"/>
      <c r="C68" s="82"/>
      <c r="D68" s="82"/>
      <c r="E68" s="82"/>
      <c r="F68" s="82"/>
      <c r="G68" s="82"/>
      <c r="H68" s="82"/>
      <c r="I68" s="82"/>
      <c r="J68" s="82"/>
      <c r="K68" s="83"/>
      <c r="L68" s="83"/>
    </row>
    <row r="69" spans="1:12" x14ac:dyDescent="0.2">
      <c r="A69" s="81"/>
      <c r="B69" s="82"/>
      <c r="C69" s="82"/>
      <c r="D69" s="82"/>
      <c r="E69" s="82"/>
      <c r="F69" s="82"/>
      <c r="G69" s="82"/>
      <c r="H69" s="82"/>
      <c r="I69" s="82"/>
      <c r="J69" s="82"/>
      <c r="K69" s="83"/>
      <c r="L69" s="83"/>
    </row>
    <row r="70" spans="1:12" x14ac:dyDescent="0.2">
      <c r="A70" s="81"/>
      <c r="B70" s="83"/>
      <c r="C70" s="83"/>
      <c r="D70" s="83"/>
      <c r="E70" s="83"/>
      <c r="F70" s="83"/>
      <c r="G70" s="83"/>
      <c r="H70" s="83"/>
      <c r="I70" s="83"/>
      <c r="J70" s="83"/>
      <c r="K70" s="83"/>
      <c r="L70" s="83"/>
    </row>
    <row r="71" spans="1:12" x14ac:dyDescent="0.2">
      <c r="A71" s="81"/>
      <c r="B71" s="82"/>
      <c r="C71" s="82"/>
      <c r="D71" s="82"/>
      <c r="E71" s="82"/>
      <c r="F71" s="82"/>
      <c r="G71" s="82"/>
      <c r="H71" s="82"/>
      <c r="I71" s="82"/>
      <c r="J71" s="82"/>
      <c r="K71" s="82"/>
      <c r="L71" s="82"/>
    </row>
    <row r="72" spans="1:12" x14ac:dyDescent="0.2">
      <c r="A72" s="81"/>
      <c r="B72" s="82"/>
      <c r="C72" s="82"/>
      <c r="D72" s="82"/>
      <c r="E72" s="82"/>
      <c r="F72" s="82"/>
      <c r="G72" s="82"/>
      <c r="H72" s="82"/>
      <c r="I72" s="82"/>
      <c r="J72" s="82"/>
      <c r="K72" s="82"/>
      <c r="L72" s="82"/>
    </row>
    <row r="73" spans="1:12" x14ac:dyDescent="0.2">
      <c r="A73" s="81"/>
      <c r="B73" s="82"/>
      <c r="C73" s="82"/>
      <c r="D73" s="82"/>
      <c r="E73" s="82"/>
      <c r="F73" s="82"/>
      <c r="G73" s="82"/>
      <c r="H73" s="82"/>
      <c r="I73" s="82"/>
      <c r="J73" s="82"/>
      <c r="K73" s="82"/>
      <c r="L73" s="82"/>
    </row>
    <row r="74" spans="1:12" x14ac:dyDescent="0.2">
      <c r="A74" s="81"/>
      <c r="B74" s="82"/>
      <c r="C74" s="82"/>
      <c r="D74" s="82"/>
      <c r="E74" s="82"/>
      <c r="F74" s="82"/>
      <c r="G74" s="82"/>
      <c r="H74" s="82"/>
      <c r="I74" s="82"/>
      <c r="J74" s="82"/>
      <c r="K74" s="82"/>
      <c r="L74" s="82"/>
    </row>
    <row r="75" spans="1:12" x14ac:dyDescent="0.2">
      <c r="A75" s="81"/>
      <c r="B75" s="82"/>
      <c r="C75" s="82"/>
      <c r="D75" s="82"/>
      <c r="E75" s="82"/>
      <c r="F75" s="82"/>
      <c r="G75" s="82"/>
      <c r="H75" s="82"/>
      <c r="I75" s="82"/>
      <c r="J75" s="82"/>
      <c r="K75" s="82"/>
      <c r="L75" s="82"/>
    </row>
    <row r="76" spans="1:12" x14ac:dyDescent="0.2">
      <c r="A76" s="81"/>
      <c r="B76" s="82"/>
      <c r="C76" s="82"/>
      <c r="D76" s="82"/>
      <c r="E76" s="82"/>
      <c r="F76" s="82"/>
      <c r="G76" s="82"/>
      <c r="H76" s="82"/>
      <c r="I76" s="82"/>
      <c r="J76" s="82"/>
      <c r="K76" s="82"/>
      <c r="L76" s="82"/>
    </row>
    <row r="77" spans="1:12" x14ac:dyDescent="0.2">
      <c r="A77" s="81"/>
      <c r="B77" s="82"/>
      <c r="C77" s="82"/>
      <c r="D77" s="82"/>
      <c r="E77" s="82"/>
      <c r="F77" s="82"/>
      <c r="G77" s="82"/>
      <c r="H77" s="82"/>
      <c r="I77" s="82"/>
      <c r="J77" s="82"/>
      <c r="K77" s="82"/>
      <c r="L77" s="82"/>
    </row>
    <row r="78" spans="1:12" x14ac:dyDescent="0.2">
      <c r="A78" s="81"/>
      <c r="B78" s="82"/>
      <c r="C78" s="82"/>
      <c r="D78" s="82"/>
      <c r="E78" s="82"/>
      <c r="F78" s="82"/>
      <c r="G78" s="82"/>
      <c r="H78" s="82"/>
      <c r="I78" s="82"/>
      <c r="J78" s="82"/>
      <c r="K78" s="82"/>
      <c r="L78" s="82"/>
    </row>
    <row r="79" spans="1:12" x14ac:dyDescent="0.2">
      <c r="A79" s="81"/>
      <c r="B79" s="82"/>
      <c r="C79" s="82"/>
      <c r="D79" s="82"/>
      <c r="E79" s="82"/>
      <c r="F79" s="82"/>
      <c r="G79" s="82"/>
      <c r="H79" s="82"/>
      <c r="I79" s="82"/>
      <c r="J79" s="82"/>
      <c r="K79" s="82"/>
      <c r="L79" s="82"/>
    </row>
    <row r="80" spans="1:12" x14ac:dyDescent="0.2">
      <c r="A80" s="81"/>
      <c r="B80" s="82"/>
      <c r="C80" s="82"/>
      <c r="D80" s="82"/>
      <c r="E80" s="82"/>
      <c r="F80" s="82"/>
      <c r="G80" s="82"/>
      <c r="H80" s="82"/>
      <c r="I80" s="82"/>
      <c r="J80" s="82"/>
      <c r="K80" s="82"/>
      <c r="L80" s="82"/>
    </row>
    <row r="81" spans="1:12" x14ac:dyDescent="0.2">
      <c r="A81" s="81"/>
      <c r="B81" s="82"/>
      <c r="C81" s="82"/>
      <c r="D81" s="82"/>
      <c r="E81" s="82"/>
      <c r="F81" s="82"/>
      <c r="G81" s="82"/>
      <c r="H81" s="82"/>
      <c r="I81" s="82"/>
      <c r="J81" s="82"/>
      <c r="K81" s="82"/>
      <c r="L81" s="82"/>
    </row>
    <row r="82" spans="1:12" x14ac:dyDescent="0.2">
      <c r="A82" s="81"/>
      <c r="B82" s="82"/>
      <c r="C82" s="82"/>
      <c r="D82" s="82"/>
      <c r="E82" s="82"/>
      <c r="F82" s="82"/>
      <c r="G82" s="82"/>
      <c r="H82" s="82"/>
      <c r="I82" s="82"/>
      <c r="J82" s="82"/>
      <c r="K82" s="82"/>
      <c r="L82" s="82"/>
    </row>
    <row r="83" spans="1:12" x14ac:dyDescent="0.2">
      <c r="A83" s="81"/>
      <c r="B83" s="82"/>
      <c r="C83" s="82"/>
      <c r="D83" s="82"/>
      <c r="E83" s="82"/>
      <c r="F83" s="82"/>
      <c r="G83" s="82"/>
      <c r="H83" s="82"/>
      <c r="I83" s="82"/>
      <c r="J83" s="82"/>
      <c r="K83" s="82"/>
      <c r="L83" s="82"/>
    </row>
    <row r="84" spans="1:12" x14ac:dyDescent="0.2">
      <c r="A84" s="81"/>
      <c r="B84" s="82"/>
      <c r="C84" s="82"/>
      <c r="D84" s="82"/>
      <c r="E84" s="82"/>
      <c r="F84" s="82"/>
      <c r="G84" s="82"/>
      <c r="H84" s="82"/>
      <c r="I84" s="82"/>
      <c r="J84" s="82"/>
      <c r="K84" s="82"/>
      <c r="L84" s="82"/>
    </row>
    <row r="85" spans="1:12" x14ac:dyDescent="0.2">
      <c r="A85" s="81"/>
      <c r="B85" s="82"/>
      <c r="C85" s="82"/>
      <c r="D85" s="82"/>
      <c r="E85" s="82"/>
      <c r="F85" s="82"/>
      <c r="G85" s="82"/>
      <c r="H85" s="82"/>
      <c r="I85" s="82"/>
      <c r="J85" s="82"/>
      <c r="K85" s="82"/>
      <c r="L85" s="82"/>
    </row>
    <row r="86" spans="1:12" x14ac:dyDescent="0.2">
      <c r="A86" s="81"/>
      <c r="B86" s="82"/>
      <c r="C86" s="82"/>
      <c r="D86" s="82"/>
      <c r="E86" s="82"/>
      <c r="F86" s="82"/>
      <c r="G86" s="82"/>
      <c r="H86" s="82"/>
      <c r="I86" s="82"/>
      <c r="J86" s="82"/>
      <c r="K86" s="82"/>
      <c r="L86" s="82"/>
    </row>
    <row r="87" spans="1:12" x14ac:dyDescent="0.2">
      <c r="A87" s="81"/>
      <c r="B87" s="82"/>
      <c r="C87" s="82"/>
      <c r="D87" s="82"/>
      <c r="E87" s="82"/>
      <c r="F87" s="82"/>
      <c r="G87" s="82"/>
      <c r="H87" s="82"/>
      <c r="I87" s="82"/>
      <c r="J87" s="82"/>
      <c r="K87" s="82"/>
      <c r="L87" s="82"/>
    </row>
    <row r="88" spans="1:12" x14ac:dyDescent="0.2">
      <c r="A88" s="81"/>
      <c r="B88" s="82"/>
      <c r="C88" s="82"/>
      <c r="D88" s="82"/>
      <c r="E88" s="82"/>
      <c r="F88" s="82"/>
      <c r="G88" s="82"/>
      <c r="H88" s="82"/>
      <c r="I88" s="82"/>
      <c r="J88" s="82"/>
      <c r="K88" s="82"/>
      <c r="L88" s="82"/>
    </row>
    <row r="89" spans="1:12" x14ac:dyDescent="0.2">
      <c r="A89" s="81"/>
      <c r="B89" s="82"/>
      <c r="C89" s="82"/>
      <c r="D89" s="82"/>
      <c r="E89" s="82"/>
      <c r="F89" s="82"/>
      <c r="G89" s="82"/>
      <c r="H89" s="82"/>
      <c r="I89" s="82"/>
      <c r="J89" s="82"/>
      <c r="K89" s="82"/>
      <c r="L89" s="82"/>
    </row>
    <row r="90" spans="1:12" x14ac:dyDescent="0.2">
      <c r="A90" s="81"/>
      <c r="B90" s="82"/>
      <c r="C90" s="82"/>
      <c r="D90" s="82"/>
      <c r="E90" s="82"/>
      <c r="F90" s="82"/>
      <c r="G90" s="82"/>
      <c r="H90" s="82"/>
      <c r="I90" s="82"/>
      <c r="J90" s="82"/>
      <c r="K90" s="82"/>
      <c r="L90" s="82"/>
    </row>
    <row r="91" spans="1:12" x14ac:dyDescent="0.2">
      <c r="A91" s="81"/>
      <c r="B91" s="82"/>
      <c r="C91" s="82"/>
      <c r="D91" s="82"/>
      <c r="E91" s="82"/>
      <c r="F91" s="82"/>
      <c r="G91" s="82"/>
      <c r="H91" s="82"/>
      <c r="I91" s="82"/>
      <c r="J91" s="82"/>
      <c r="K91" s="82"/>
      <c r="L91" s="82"/>
    </row>
    <row r="92" spans="1:12" x14ac:dyDescent="0.2">
      <c r="A92" s="81"/>
      <c r="B92" s="82"/>
      <c r="C92" s="82"/>
      <c r="D92" s="82"/>
      <c r="E92" s="82"/>
      <c r="F92" s="82"/>
      <c r="G92" s="82"/>
      <c r="H92" s="82"/>
      <c r="I92" s="82"/>
      <c r="J92" s="82"/>
      <c r="K92" s="82"/>
      <c r="L92" s="82"/>
    </row>
    <row r="93" spans="1:12" x14ac:dyDescent="0.2">
      <c r="A93" s="81"/>
      <c r="B93" s="82"/>
      <c r="C93" s="82"/>
      <c r="D93" s="82"/>
      <c r="E93" s="82"/>
      <c r="F93" s="82"/>
      <c r="G93" s="82"/>
      <c r="H93" s="82"/>
      <c r="I93" s="82"/>
      <c r="J93" s="82"/>
      <c r="K93" s="82"/>
      <c r="L93" s="82"/>
    </row>
    <row r="94" spans="1:12" x14ac:dyDescent="0.2">
      <c r="A94" s="81"/>
      <c r="B94" s="82"/>
      <c r="C94" s="82"/>
      <c r="D94" s="82"/>
      <c r="E94" s="82"/>
      <c r="F94" s="82"/>
      <c r="G94" s="82"/>
      <c r="H94" s="82"/>
      <c r="I94" s="82"/>
      <c r="J94" s="82"/>
      <c r="K94" s="82"/>
      <c r="L94" s="82"/>
    </row>
    <row r="95" spans="1:12" x14ac:dyDescent="0.2">
      <c r="A95" s="81"/>
      <c r="B95" s="82"/>
      <c r="C95" s="82"/>
      <c r="D95" s="82"/>
      <c r="E95" s="82"/>
      <c r="F95" s="82"/>
      <c r="G95" s="82"/>
      <c r="H95" s="82"/>
      <c r="I95" s="82"/>
      <c r="J95" s="82"/>
      <c r="K95" s="82"/>
      <c r="L95" s="82"/>
    </row>
    <row r="96" spans="1:12" x14ac:dyDescent="0.2">
      <c r="A96" s="81"/>
      <c r="B96" s="82"/>
      <c r="C96" s="82"/>
      <c r="D96" s="82"/>
      <c r="E96" s="82"/>
      <c r="F96" s="82"/>
      <c r="G96" s="82"/>
      <c r="H96" s="82"/>
      <c r="I96" s="82"/>
      <c r="J96" s="82"/>
      <c r="K96" s="82"/>
      <c r="L96" s="82"/>
    </row>
    <row r="97" spans="1:12" x14ac:dyDescent="0.2">
      <c r="A97" s="81"/>
      <c r="B97" s="82"/>
      <c r="C97" s="82"/>
      <c r="D97" s="82"/>
      <c r="E97" s="82"/>
      <c r="F97" s="82"/>
      <c r="G97" s="82"/>
      <c r="H97" s="82"/>
      <c r="I97" s="82"/>
      <c r="J97" s="82"/>
      <c r="K97" s="82"/>
      <c r="L97" s="82"/>
    </row>
    <row r="98" spans="1:12" x14ac:dyDescent="0.2">
      <c r="A98" s="81"/>
      <c r="B98" s="82"/>
      <c r="C98" s="82"/>
      <c r="D98" s="82"/>
      <c r="E98" s="82"/>
      <c r="F98" s="82"/>
      <c r="G98" s="82"/>
      <c r="H98" s="82"/>
      <c r="I98" s="82"/>
      <c r="J98" s="82"/>
      <c r="K98" s="82"/>
      <c r="L98" s="82"/>
    </row>
    <row r="99" spans="1:12" x14ac:dyDescent="0.2">
      <c r="A99" s="81"/>
      <c r="B99" s="82"/>
      <c r="C99" s="82"/>
      <c r="D99" s="82"/>
      <c r="E99" s="82"/>
      <c r="F99" s="82"/>
      <c r="G99" s="82"/>
      <c r="H99" s="82"/>
      <c r="I99" s="82"/>
      <c r="J99" s="82"/>
      <c r="K99" s="82"/>
      <c r="L99" s="82"/>
    </row>
  </sheetData>
  <sheetProtection formatCells="0" formatColumns="0" formatRows="0"/>
  <mergeCells count="1">
    <mergeCell ref="A1:J1"/>
  </mergeCells>
  <hyperlinks>
    <hyperlink ref="A49" r:id="rId1" display="https://app.tikr.com/terms" xr:uid="{FE9545D5-4FDF-FB4A-BB6F-DB65C58CAF52}"/>
    <hyperlink ref="A50" r:id="rId2" display="https://app.tikr.com/privacypolicy" xr:uid="{E4925936-4F4F-A846-ADF1-018EB8AFA94A}"/>
  </hyperlinks>
  <pageMargins left="0.7" right="0.7" top="0.75" bottom="0.75" header="0.3" footer="0.3"/>
  <pageSetup paperSize="9" orientation="portrait" horizontalDpi="1200" verticalDpi="1200"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dimension ref="A1:T65"/>
  <sheetViews>
    <sheetView showGridLines="0" zoomScale="80" zoomScaleNormal="80" workbookViewId="0"/>
  </sheetViews>
  <sheetFormatPr baseColWidth="10" defaultColWidth="0" defaultRowHeight="16" zeroHeight="1" x14ac:dyDescent="0.2"/>
  <cols>
    <col min="1" max="1" width="4" style="6" customWidth="1"/>
    <col min="2" max="2" width="41.5" style="6" customWidth="1"/>
    <col min="3" max="3" width="79" style="24" customWidth="1"/>
    <col min="4" max="4" width="83.5" style="24" customWidth="1"/>
    <col min="5" max="5" width="69.5" style="24" customWidth="1"/>
    <col min="6" max="6" width="56.5" style="6" customWidth="1"/>
    <col min="7" max="8" width="13.83203125" style="6" hidden="1" customWidth="1"/>
    <col min="9" max="14" width="16.83203125" style="6" hidden="1" customWidth="1"/>
    <col min="15" max="15" width="1.83203125" style="6" hidden="1" customWidth="1"/>
    <col min="16" max="18" width="0" style="6" hidden="1" customWidth="1"/>
    <col min="19" max="21" width="9.1640625" style="6" hidden="1" customWidth="1"/>
    <col min="22" max="16384" width="9.1640625" style="6" hidden="1"/>
  </cols>
  <sheetData>
    <row r="1" spans="1:20" x14ac:dyDescent="0.2">
      <c r="A1" s="27"/>
      <c r="B1" s="27"/>
      <c r="C1" s="32"/>
      <c r="D1" s="32"/>
      <c r="E1" s="32"/>
      <c r="F1" s="27"/>
      <c r="G1" s="27"/>
      <c r="H1" s="27"/>
      <c r="I1" s="27"/>
      <c r="J1" s="27"/>
      <c r="K1" s="27"/>
      <c r="L1" s="27"/>
      <c r="M1" s="27"/>
      <c r="N1" s="27"/>
      <c r="O1" s="27"/>
      <c r="P1" s="27"/>
      <c r="Q1" s="27"/>
      <c r="R1" s="27"/>
    </row>
    <row r="2" spans="1:20" ht="30" customHeight="1" x14ac:dyDescent="0.2">
      <c r="A2" s="27"/>
      <c r="B2" s="38" t="s">
        <v>190</v>
      </c>
      <c r="C2" s="38" t="s">
        <v>191</v>
      </c>
      <c r="D2" s="38" t="s">
        <v>192</v>
      </c>
      <c r="E2" s="38" t="s">
        <v>193</v>
      </c>
      <c r="F2" s="28"/>
      <c r="G2" s="28"/>
      <c r="H2" s="28"/>
      <c r="I2" s="28"/>
      <c r="J2" s="28"/>
      <c r="K2" s="28"/>
      <c r="L2" s="28"/>
      <c r="M2" s="29"/>
      <c r="N2" s="29"/>
      <c r="O2" s="30"/>
      <c r="P2" s="27"/>
      <c r="Q2" s="27"/>
      <c r="R2" s="27"/>
      <c r="S2" s="27"/>
      <c r="T2" s="27"/>
    </row>
    <row r="3" spans="1:20" ht="30" customHeight="1" x14ac:dyDescent="0.2">
      <c r="A3" s="27"/>
      <c r="B3" s="39" t="s">
        <v>2</v>
      </c>
      <c r="C3" s="42" t="s">
        <v>27</v>
      </c>
      <c r="D3" s="42" t="s">
        <v>28</v>
      </c>
      <c r="E3" s="42" t="s">
        <v>29</v>
      </c>
      <c r="F3" s="31"/>
      <c r="G3" s="31"/>
      <c r="H3" s="31"/>
      <c r="I3" s="31"/>
      <c r="J3" s="31"/>
      <c r="K3" s="31"/>
      <c r="L3" s="31"/>
      <c r="M3" s="31"/>
      <c r="N3" s="31"/>
      <c r="O3" s="32"/>
      <c r="P3" s="27"/>
      <c r="Q3" s="27"/>
      <c r="R3" s="27"/>
      <c r="S3" s="27"/>
      <c r="T3" s="27"/>
    </row>
    <row r="4" spans="1:20" ht="30" customHeight="1" x14ac:dyDescent="0.2">
      <c r="A4" s="27"/>
      <c r="B4" s="178" t="s">
        <v>4</v>
      </c>
      <c r="C4" s="179" t="s">
        <v>30</v>
      </c>
      <c r="D4" s="179" t="s">
        <v>31</v>
      </c>
      <c r="E4" s="179" t="s">
        <v>32</v>
      </c>
      <c r="F4" s="31"/>
      <c r="G4" s="31"/>
      <c r="H4" s="31"/>
      <c r="I4" s="31"/>
      <c r="J4" s="31"/>
      <c r="K4" s="31"/>
      <c r="L4" s="31"/>
      <c r="M4" s="31"/>
      <c r="N4" s="31"/>
      <c r="O4" s="32"/>
      <c r="P4" s="27"/>
      <c r="Q4" s="27"/>
      <c r="R4" s="27"/>
      <c r="S4" s="27"/>
      <c r="T4" s="27"/>
    </row>
    <row r="5" spans="1:20" ht="30" customHeight="1" x14ac:dyDescent="0.2">
      <c r="A5" s="27"/>
      <c r="B5" s="39" t="s">
        <v>16</v>
      </c>
      <c r="C5" s="42" t="s">
        <v>33</v>
      </c>
      <c r="D5" s="42" t="s">
        <v>35</v>
      </c>
      <c r="E5" s="42" t="s">
        <v>34</v>
      </c>
      <c r="F5" s="31"/>
      <c r="G5" s="31"/>
      <c r="H5" s="31"/>
      <c r="I5" s="31"/>
      <c r="J5" s="31"/>
      <c r="K5" s="31"/>
      <c r="L5" s="31"/>
      <c r="M5" s="31"/>
      <c r="N5" s="31"/>
      <c r="O5" s="32"/>
      <c r="P5" s="27"/>
      <c r="Q5" s="27"/>
      <c r="R5" s="27"/>
      <c r="S5" s="27"/>
      <c r="T5" s="27"/>
    </row>
    <row r="6" spans="1:20" ht="30" customHeight="1" x14ac:dyDescent="0.2">
      <c r="A6" s="27"/>
      <c r="B6" s="178" t="s">
        <v>1</v>
      </c>
      <c r="C6" s="179" t="s">
        <v>36</v>
      </c>
      <c r="D6" s="179" t="s">
        <v>37</v>
      </c>
      <c r="E6" s="179"/>
      <c r="F6" s="31"/>
      <c r="G6" s="31"/>
      <c r="H6" s="31"/>
      <c r="I6" s="31"/>
      <c r="J6" s="31"/>
      <c r="K6" s="31"/>
      <c r="L6" s="31"/>
      <c r="M6" s="31"/>
      <c r="N6" s="31"/>
      <c r="O6" s="32"/>
      <c r="P6" s="27"/>
      <c r="Q6" s="27"/>
      <c r="R6" s="27"/>
      <c r="S6" s="27"/>
      <c r="T6" s="27"/>
    </row>
    <row r="7" spans="1:20" ht="30" customHeight="1" x14ac:dyDescent="0.2">
      <c r="A7" s="27"/>
      <c r="B7" s="39" t="s">
        <v>18</v>
      </c>
      <c r="C7" s="40" t="s">
        <v>38</v>
      </c>
      <c r="D7" s="42"/>
      <c r="E7" s="42"/>
      <c r="F7" s="31"/>
      <c r="G7" s="31"/>
      <c r="H7" s="31"/>
      <c r="I7" s="31"/>
      <c r="J7" s="31"/>
      <c r="K7" s="31"/>
      <c r="L7" s="31"/>
      <c r="M7" s="31"/>
      <c r="N7" s="31"/>
      <c r="O7" s="32"/>
      <c r="P7" s="27"/>
      <c r="Q7" s="27"/>
      <c r="R7" s="27"/>
      <c r="S7" s="27"/>
      <c r="T7" s="27"/>
    </row>
    <row r="8" spans="1:20" ht="25" customHeight="1" x14ac:dyDescent="0.2">
      <c r="A8" s="27"/>
      <c r="C8" s="6"/>
      <c r="D8" s="6"/>
      <c r="E8" s="6"/>
      <c r="F8" s="31"/>
      <c r="G8" s="31"/>
      <c r="H8" s="31"/>
      <c r="I8" s="31"/>
      <c r="J8" s="31"/>
      <c r="K8" s="31"/>
      <c r="L8" s="31"/>
      <c r="M8" s="31"/>
      <c r="N8" s="31"/>
      <c r="O8" s="32"/>
      <c r="P8" s="27"/>
      <c r="Q8" s="27"/>
      <c r="R8" s="27"/>
      <c r="S8" s="27"/>
      <c r="T8" s="27"/>
    </row>
    <row r="9" spans="1:20" ht="30" customHeight="1" x14ac:dyDescent="0.2">
      <c r="A9" s="27"/>
      <c r="B9" s="37" t="s">
        <v>79</v>
      </c>
      <c r="C9" s="38" t="s">
        <v>191</v>
      </c>
      <c r="D9" s="38" t="s">
        <v>192</v>
      </c>
      <c r="E9" s="38" t="s">
        <v>193</v>
      </c>
      <c r="F9" s="31"/>
      <c r="G9" s="31"/>
      <c r="H9" s="31"/>
      <c r="I9" s="31"/>
      <c r="J9" s="31"/>
      <c r="K9" s="31"/>
      <c r="L9" s="31"/>
      <c r="M9" s="31"/>
      <c r="N9" s="31"/>
      <c r="O9" s="32"/>
      <c r="P9" s="27"/>
      <c r="Q9" s="27"/>
      <c r="R9" s="27"/>
      <c r="S9" s="27"/>
      <c r="T9" s="27"/>
    </row>
    <row r="10" spans="1:20" ht="30" customHeight="1" x14ac:dyDescent="0.2">
      <c r="A10" s="27"/>
      <c r="B10" s="39" t="s">
        <v>140</v>
      </c>
      <c r="C10" s="42" t="s">
        <v>141</v>
      </c>
      <c r="D10" s="40"/>
      <c r="E10" s="41"/>
      <c r="F10" s="31"/>
      <c r="G10" s="31"/>
      <c r="H10" s="31"/>
      <c r="I10" s="31"/>
      <c r="J10" s="31"/>
      <c r="K10" s="31"/>
      <c r="L10" s="31"/>
      <c r="M10" s="31"/>
      <c r="N10" s="31"/>
      <c r="O10" s="32"/>
      <c r="P10" s="27"/>
      <c r="Q10" s="27"/>
      <c r="R10" s="27"/>
      <c r="S10" s="27"/>
      <c r="T10" s="27"/>
    </row>
    <row r="11" spans="1:20" ht="30" customHeight="1" x14ac:dyDescent="0.2">
      <c r="A11" s="27"/>
      <c r="B11" s="178" t="s">
        <v>25</v>
      </c>
      <c r="C11" s="180" t="s">
        <v>26</v>
      </c>
      <c r="D11" s="180"/>
      <c r="E11" s="181"/>
      <c r="F11" s="31"/>
      <c r="G11" s="31"/>
      <c r="H11" s="31"/>
      <c r="I11" s="31"/>
      <c r="J11" s="31"/>
      <c r="K11" s="31"/>
      <c r="L11" s="31"/>
      <c r="M11" s="31"/>
      <c r="N11" s="31"/>
      <c r="O11" s="32"/>
      <c r="P11" s="27"/>
      <c r="Q11" s="27"/>
      <c r="R11" s="27"/>
      <c r="S11" s="27"/>
      <c r="T11" s="27"/>
    </row>
    <row r="12" spans="1:20" ht="30" customHeight="1" x14ac:dyDescent="0.2">
      <c r="A12" s="27"/>
      <c r="B12" s="39" t="s">
        <v>23</v>
      </c>
      <c r="C12" s="42" t="s">
        <v>142</v>
      </c>
      <c r="D12" s="42" t="s">
        <v>24</v>
      </c>
      <c r="E12" s="43"/>
      <c r="F12" s="31"/>
      <c r="G12" s="31"/>
      <c r="H12" s="31"/>
      <c r="I12" s="31"/>
      <c r="J12" s="31"/>
      <c r="K12" s="31"/>
      <c r="L12" s="31"/>
      <c r="M12" s="31"/>
      <c r="N12" s="31"/>
      <c r="O12" s="32"/>
      <c r="P12" s="27"/>
      <c r="Q12" s="27"/>
      <c r="R12" s="27"/>
      <c r="S12" s="27"/>
      <c r="T12" s="27"/>
    </row>
    <row r="13" spans="1:20" ht="30" customHeight="1" x14ac:dyDescent="0.2">
      <c r="A13" s="27"/>
      <c r="B13" s="178" t="s">
        <v>100</v>
      </c>
      <c r="C13" s="180" t="s">
        <v>82</v>
      </c>
      <c r="D13" s="180"/>
      <c r="E13" s="181"/>
      <c r="F13" s="31"/>
      <c r="G13" s="31"/>
      <c r="H13" s="31"/>
      <c r="I13" s="31"/>
      <c r="J13" s="31"/>
      <c r="K13" s="31"/>
      <c r="L13" s="31"/>
      <c r="M13" s="31"/>
      <c r="N13" s="31"/>
      <c r="O13" s="32"/>
      <c r="P13" s="27"/>
      <c r="Q13" s="27"/>
      <c r="R13" s="27"/>
      <c r="S13" s="27"/>
      <c r="T13" s="27"/>
    </row>
    <row r="14" spans="1:20" ht="30" customHeight="1" x14ac:dyDescent="0.2">
      <c r="A14" s="27"/>
      <c r="B14" s="39" t="s">
        <v>101</v>
      </c>
      <c r="C14" s="40" t="s">
        <v>83</v>
      </c>
      <c r="D14" s="40"/>
      <c r="E14" s="41"/>
      <c r="F14" s="31"/>
      <c r="G14" s="31"/>
      <c r="H14" s="31"/>
      <c r="I14" s="31"/>
      <c r="J14" s="31"/>
      <c r="K14" s="31"/>
      <c r="L14" s="31"/>
      <c r="M14" s="31"/>
      <c r="N14" s="31"/>
      <c r="O14" s="32"/>
      <c r="P14" s="27"/>
      <c r="Q14" s="27"/>
      <c r="R14" s="27"/>
      <c r="S14" s="27"/>
      <c r="T14" s="27"/>
    </row>
    <row r="15" spans="1:20" ht="30" customHeight="1" x14ac:dyDescent="0.2">
      <c r="A15" s="27"/>
      <c r="B15" s="178" t="s">
        <v>99</v>
      </c>
      <c r="C15" s="180" t="s">
        <v>84</v>
      </c>
      <c r="D15" s="180"/>
      <c r="E15" s="181"/>
      <c r="F15" s="31"/>
      <c r="G15" s="31"/>
      <c r="H15" s="31"/>
      <c r="I15" s="31"/>
      <c r="J15" s="31"/>
      <c r="K15" s="31"/>
      <c r="L15" s="31"/>
      <c r="M15" s="31"/>
      <c r="N15" s="31"/>
      <c r="O15" s="32"/>
      <c r="P15" s="27"/>
      <c r="Q15" s="27"/>
      <c r="R15" s="27"/>
      <c r="S15" s="27"/>
      <c r="T15" s="27"/>
    </row>
    <row r="16" spans="1:20" ht="30" customHeight="1" x14ac:dyDescent="0.2">
      <c r="A16" s="27"/>
      <c r="B16" s="39" t="s">
        <v>20</v>
      </c>
      <c r="C16" s="40" t="s">
        <v>21</v>
      </c>
      <c r="D16" s="40" t="s">
        <v>22</v>
      </c>
      <c r="E16" s="41"/>
      <c r="F16" s="31"/>
      <c r="G16" s="31"/>
      <c r="H16" s="31"/>
      <c r="I16" s="31"/>
      <c r="J16" s="31"/>
      <c r="K16" s="31"/>
      <c r="L16" s="31"/>
      <c r="M16" s="31"/>
      <c r="N16" s="31"/>
      <c r="O16" s="32"/>
      <c r="P16" s="27"/>
      <c r="Q16" s="27"/>
      <c r="R16" s="27"/>
      <c r="S16" s="27"/>
      <c r="T16" s="27"/>
    </row>
    <row r="17" spans="1:20" ht="25" customHeight="1" x14ac:dyDescent="0.2">
      <c r="A17" s="27"/>
      <c r="C17" s="6"/>
      <c r="D17" s="6"/>
      <c r="E17" s="6"/>
      <c r="F17" s="33"/>
      <c r="G17" s="33"/>
      <c r="H17" s="33"/>
      <c r="I17" s="33"/>
      <c r="J17" s="33"/>
      <c r="K17" s="33"/>
      <c r="L17" s="33"/>
      <c r="M17" s="33"/>
      <c r="N17" s="33"/>
      <c r="O17" s="34"/>
      <c r="P17" s="27"/>
      <c r="Q17" s="27"/>
      <c r="R17" s="27"/>
      <c r="S17" s="27"/>
      <c r="T17" s="27"/>
    </row>
    <row r="18" spans="1:20" ht="30" customHeight="1" x14ac:dyDescent="0.2">
      <c r="A18" s="27"/>
      <c r="B18" s="37" t="s">
        <v>80</v>
      </c>
      <c r="C18" s="38" t="s">
        <v>191</v>
      </c>
      <c r="D18" s="38" t="s">
        <v>192</v>
      </c>
      <c r="E18" s="38" t="s">
        <v>193</v>
      </c>
      <c r="F18" s="35"/>
      <c r="G18" s="35"/>
      <c r="H18" s="35"/>
      <c r="I18" s="35"/>
      <c r="J18" s="35"/>
      <c r="K18" s="35"/>
      <c r="L18" s="35"/>
      <c r="M18" s="35"/>
      <c r="N18" s="35"/>
      <c r="O18" s="34"/>
      <c r="P18" s="27"/>
      <c r="Q18" s="27"/>
      <c r="R18" s="27"/>
      <c r="S18" s="27"/>
      <c r="T18" s="27"/>
    </row>
    <row r="19" spans="1:20" ht="30" customHeight="1" x14ac:dyDescent="0.2">
      <c r="A19" s="27"/>
      <c r="B19" s="39" t="s">
        <v>2</v>
      </c>
      <c r="C19" s="40" t="s">
        <v>40</v>
      </c>
      <c r="D19" s="40"/>
      <c r="E19" s="41"/>
      <c r="F19" s="31"/>
      <c r="G19" s="31"/>
      <c r="H19" s="31"/>
      <c r="I19" s="31"/>
      <c r="J19" s="31"/>
      <c r="K19" s="31"/>
      <c r="L19" s="31"/>
      <c r="M19" s="31"/>
      <c r="N19" s="31"/>
      <c r="O19" s="34"/>
      <c r="P19" s="27"/>
      <c r="Q19" s="27"/>
      <c r="R19" s="27"/>
      <c r="S19" s="27"/>
      <c r="T19" s="27"/>
    </row>
    <row r="20" spans="1:20" ht="30" customHeight="1" x14ac:dyDescent="0.2">
      <c r="A20" s="27"/>
      <c r="B20" s="178" t="s">
        <v>4</v>
      </c>
      <c r="C20" s="180" t="s">
        <v>41</v>
      </c>
      <c r="D20" s="180"/>
      <c r="E20" s="181"/>
      <c r="F20" s="31"/>
      <c r="G20" s="31"/>
      <c r="H20" s="31"/>
      <c r="I20" s="31"/>
      <c r="J20" s="31"/>
      <c r="K20" s="31"/>
      <c r="L20" s="31"/>
      <c r="M20" s="31"/>
      <c r="N20" s="31"/>
      <c r="O20" s="34"/>
      <c r="P20" s="27"/>
      <c r="Q20" s="27"/>
      <c r="R20" s="27"/>
      <c r="S20" s="27"/>
      <c r="T20" s="27"/>
    </row>
    <row r="21" spans="1:20" ht="30" customHeight="1" x14ac:dyDescent="0.2">
      <c r="A21" s="27"/>
      <c r="B21" s="39" t="s">
        <v>39</v>
      </c>
      <c r="C21" s="40" t="s">
        <v>42</v>
      </c>
      <c r="D21" s="40"/>
      <c r="E21" s="41"/>
      <c r="F21" s="31"/>
      <c r="G21" s="31"/>
      <c r="H21" s="31"/>
      <c r="I21" s="31"/>
      <c r="J21" s="31"/>
      <c r="K21" s="31"/>
      <c r="L21" s="31"/>
      <c r="M21" s="31"/>
      <c r="N21" s="31"/>
      <c r="O21" s="34"/>
      <c r="P21" s="27"/>
      <c r="Q21" s="27"/>
      <c r="R21" s="27"/>
      <c r="S21" s="27"/>
      <c r="T21" s="27"/>
    </row>
    <row r="22" spans="1:20" ht="30" customHeight="1" x14ac:dyDescent="0.2">
      <c r="A22" s="27"/>
      <c r="B22" s="178" t="s">
        <v>6</v>
      </c>
      <c r="C22" s="180" t="s">
        <v>43</v>
      </c>
      <c r="D22" s="180"/>
      <c r="E22" s="181"/>
      <c r="F22" s="31"/>
      <c r="G22" s="31"/>
      <c r="H22" s="31"/>
      <c r="I22" s="31"/>
      <c r="J22" s="31"/>
      <c r="K22" s="31"/>
      <c r="L22" s="31"/>
      <c r="M22" s="31"/>
      <c r="N22" s="31"/>
      <c r="O22" s="34"/>
      <c r="P22" s="27"/>
      <c r="Q22" s="27"/>
      <c r="R22" s="27"/>
      <c r="S22" s="27"/>
      <c r="T22" s="27"/>
    </row>
    <row r="23" spans="1:20" ht="25" customHeight="1" x14ac:dyDescent="0.2">
      <c r="A23" s="27"/>
      <c r="B23" s="39"/>
      <c r="C23" s="40"/>
      <c r="D23" s="40"/>
      <c r="E23" s="41"/>
      <c r="F23" s="31"/>
      <c r="G23" s="31"/>
      <c r="H23" s="31"/>
      <c r="I23" s="31"/>
      <c r="J23" s="31"/>
      <c r="K23" s="31"/>
      <c r="L23" s="31"/>
      <c r="M23" s="31"/>
      <c r="N23" s="31"/>
      <c r="O23" s="34"/>
      <c r="P23" s="27"/>
      <c r="Q23" s="27"/>
      <c r="R23" s="27"/>
      <c r="S23" s="27"/>
      <c r="T23" s="27"/>
    </row>
    <row r="24" spans="1:20" ht="30" customHeight="1" x14ac:dyDescent="0.2">
      <c r="A24" s="27"/>
      <c r="B24" s="37" t="s">
        <v>81</v>
      </c>
      <c r="C24" s="38" t="s">
        <v>191</v>
      </c>
      <c r="D24" s="38" t="s">
        <v>192</v>
      </c>
      <c r="E24" s="38" t="s">
        <v>193</v>
      </c>
      <c r="F24" s="29"/>
      <c r="G24" s="29"/>
      <c r="H24" s="29"/>
      <c r="I24" s="29"/>
      <c r="J24" s="29"/>
      <c r="K24" s="29"/>
      <c r="L24" s="29"/>
      <c r="M24" s="29"/>
      <c r="N24" s="29"/>
      <c r="O24" s="32"/>
      <c r="P24" s="27"/>
      <c r="Q24" s="27"/>
      <c r="R24" s="27"/>
      <c r="S24" s="27"/>
      <c r="T24" s="27"/>
    </row>
    <row r="25" spans="1:20" ht="34" x14ac:dyDescent="0.2">
      <c r="A25" s="27"/>
      <c r="B25" s="39" t="s">
        <v>105</v>
      </c>
      <c r="C25" s="44" t="s">
        <v>48</v>
      </c>
      <c r="D25" s="44" t="s">
        <v>46</v>
      </c>
      <c r="E25" s="45"/>
      <c r="F25" s="319"/>
      <c r="G25" s="319"/>
      <c r="H25" s="319"/>
      <c r="I25" s="36"/>
      <c r="J25" s="36"/>
      <c r="K25" s="36"/>
      <c r="L25" s="36"/>
      <c r="M25" s="36"/>
      <c r="N25" s="36"/>
      <c r="O25" s="34"/>
      <c r="P25" s="27"/>
      <c r="Q25" s="27"/>
      <c r="R25" s="27"/>
      <c r="S25" s="27"/>
      <c r="T25" s="27"/>
    </row>
    <row r="26" spans="1:20" ht="30" customHeight="1" x14ac:dyDescent="0.2">
      <c r="A26" s="27"/>
      <c r="B26" s="178" t="s">
        <v>44</v>
      </c>
      <c r="C26" s="182" t="s">
        <v>194</v>
      </c>
      <c r="D26" s="182"/>
      <c r="E26" s="183"/>
      <c r="F26" s="319"/>
      <c r="G26" s="319"/>
      <c r="H26" s="319"/>
      <c r="I26" s="36"/>
      <c r="J26" s="36"/>
      <c r="K26" s="36"/>
      <c r="L26" s="36"/>
      <c r="M26" s="36"/>
      <c r="N26" s="36"/>
      <c r="O26" s="34"/>
      <c r="P26" s="27"/>
      <c r="Q26" s="27"/>
      <c r="R26" s="27"/>
      <c r="S26" s="27"/>
      <c r="T26" s="27"/>
    </row>
    <row r="27" spans="1:20" ht="30" customHeight="1" x14ac:dyDescent="0.2">
      <c r="A27" s="27"/>
      <c r="B27" s="39" t="s">
        <v>45</v>
      </c>
      <c r="C27" s="44" t="s">
        <v>47</v>
      </c>
      <c r="D27" s="46"/>
      <c r="E27" s="45"/>
      <c r="F27" s="319"/>
      <c r="G27" s="319"/>
      <c r="H27" s="319"/>
      <c r="I27" s="36"/>
      <c r="J27" s="36"/>
      <c r="K27" s="36"/>
      <c r="L27" s="36"/>
      <c r="M27" s="36"/>
      <c r="N27" s="36"/>
      <c r="O27" s="30"/>
      <c r="P27" s="27"/>
      <c r="Q27" s="27"/>
      <c r="R27" s="27"/>
      <c r="S27" s="27"/>
      <c r="T27" s="27"/>
    </row>
    <row r="28" spans="1:20" ht="25" customHeight="1" x14ac:dyDescent="0.2">
      <c r="A28" s="27"/>
      <c r="B28" s="39"/>
      <c r="C28" s="44"/>
      <c r="D28" s="46"/>
      <c r="E28" s="45"/>
      <c r="F28" s="34"/>
      <c r="G28" s="34"/>
      <c r="H28" s="34"/>
      <c r="I28" s="36"/>
      <c r="J28" s="36"/>
      <c r="K28" s="36"/>
      <c r="L28" s="36"/>
      <c r="M28" s="36"/>
      <c r="N28" s="36"/>
      <c r="O28" s="30"/>
      <c r="P28" s="27"/>
      <c r="Q28" s="27"/>
      <c r="R28" s="27"/>
      <c r="S28" s="27"/>
      <c r="T28" s="27"/>
    </row>
    <row r="29" spans="1:20" ht="30" customHeight="1" x14ac:dyDescent="0.2">
      <c r="A29" s="27"/>
      <c r="B29" s="37" t="s">
        <v>6</v>
      </c>
      <c r="C29" s="38" t="s">
        <v>191</v>
      </c>
      <c r="D29" s="38" t="s">
        <v>192</v>
      </c>
      <c r="E29" s="38" t="s">
        <v>193</v>
      </c>
      <c r="F29" s="319"/>
      <c r="G29" s="319"/>
      <c r="H29" s="319"/>
      <c r="I29" s="36"/>
      <c r="J29" s="36"/>
      <c r="K29" s="36"/>
      <c r="L29" s="36"/>
      <c r="M29" s="36"/>
      <c r="N29" s="36"/>
      <c r="O29" s="30"/>
      <c r="P29" s="27"/>
      <c r="Q29" s="27"/>
      <c r="R29" s="27"/>
      <c r="S29" s="27"/>
      <c r="T29" s="27"/>
    </row>
    <row r="30" spans="1:20" ht="52" customHeight="1" x14ac:dyDescent="0.2">
      <c r="A30" s="27"/>
      <c r="B30" s="39" t="s">
        <v>50</v>
      </c>
      <c r="C30" s="42" t="s">
        <v>49</v>
      </c>
      <c r="D30" s="45" t="s">
        <v>85</v>
      </c>
      <c r="E30" s="45" t="s">
        <v>143</v>
      </c>
      <c r="F30" s="29"/>
      <c r="G30" s="29"/>
      <c r="H30" s="29"/>
      <c r="I30" s="29"/>
      <c r="J30" s="29"/>
      <c r="K30" s="29"/>
      <c r="L30" s="29"/>
      <c r="M30" s="29"/>
      <c r="N30" s="29"/>
      <c r="O30" s="27"/>
      <c r="P30" s="27"/>
      <c r="Q30" s="27"/>
      <c r="R30" s="27"/>
      <c r="S30" s="27"/>
      <c r="T30" s="27"/>
    </row>
    <row r="31" spans="1:20" ht="35" x14ac:dyDescent="0.2">
      <c r="A31" s="27"/>
      <c r="B31" s="178" t="s">
        <v>55</v>
      </c>
      <c r="C31" s="179" t="s">
        <v>78</v>
      </c>
      <c r="D31" s="182" t="s">
        <v>86</v>
      </c>
      <c r="E31" s="183" t="s">
        <v>87</v>
      </c>
      <c r="F31" s="29"/>
      <c r="G31" s="29"/>
      <c r="H31" s="29"/>
      <c r="I31" s="29"/>
      <c r="J31" s="29"/>
      <c r="K31" s="29"/>
      <c r="L31" s="29"/>
      <c r="M31" s="29"/>
      <c r="N31" s="29"/>
      <c r="O31" s="27"/>
      <c r="P31" s="27"/>
      <c r="Q31" s="27"/>
      <c r="R31" s="27"/>
      <c r="S31" s="27"/>
      <c r="T31" s="27"/>
    </row>
    <row r="32" spans="1:20" ht="51" x14ac:dyDescent="0.2">
      <c r="A32" s="27"/>
      <c r="B32" s="39" t="s">
        <v>51</v>
      </c>
      <c r="C32" s="42" t="s">
        <v>52</v>
      </c>
      <c r="D32" s="42" t="s">
        <v>53</v>
      </c>
      <c r="E32" s="45"/>
      <c r="F32" s="29"/>
      <c r="G32" s="29"/>
      <c r="H32" s="29"/>
      <c r="I32" s="29"/>
      <c r="J32" s="29"/>
      <c r="K32" s="29"/>
      <c r="L32" s="29"/>
      <c r="M32" s="29"/>
      <c r="N32" s="29"/>
      <c r="O32" s="27"/>
      <c r="P32" s="27"/>
      <c r="Q32" s="27"/>
      <c r="R32" s="27"/>
      <c r="S32" s="27"/>
      <c r="T32" s="27"/>
    </row>
    <row r="33" spans="1:20" ht="52" customHeight="1" x14ac:dyDescent="0.2">
      <c r="A33" s="27"/>
      <c r="B33" s="178" t="s">
        <v>6</v>
      </c>
      <c r="C33" s="179" t="s">
        <v>54</v>
      </c>
      <c r="D33" s="183"/>
      <c r="E33" s="183"/>
      <c r="F33" s="29"/>
      <c r="G33" s="29"/>
      <c r="H33" s="29"/>
      <c r="I33" s="29"/>
      <c r="J33" s="29"/>
      <c r="K33" s="29"/>
      <c r="L33" s="29"/>
      <c r="M33" s="29"/>
      <c r="N33" s="29"/>
      <c r="O33" s="27"/>
      <c r="P33" s="27"/>
      <c r="Q33" s="27"/>
      <c r="R33" s="27"/>
      <c r="S33" s="27"/>
      <c r="T33" s="27"/>
    </row>
    <row r="34" spans="1:20" ht="26" hidden="1" customHeight="1" x14ac:dyDescent="0.2">
      <c r="A34" s="27"/>
      <c r="B34" s="47"/>
      <c r="C34" s="48"/>
      <c r="D34" s="48"/>
      <c r="E34" s="48"/>
      <c r="F34" s="27"/>
      <c r="G34" s="27"/>
      <c r="H34" s="27"/>
      <c r="I34" s="27"/>
      <c r="J34" s="27"/>
      <c r="K34" s="27"/>
      <c r="L34" s="27"/>
      <c r="M34" s="27"/>
      <c r="N34" s="27"/>
      <c r="O34" s="27"/>
      <c r="P34" s="27"/>
      <c r="Q34" s="27"/>
      <c r="R34" s="27"/>
      <c r="S34" s="27"/>
      <c r="T34" s="27"/>
    </row>
    <row r="35" spans="1:20" ht="26" hidden="1" customHeight="1" x14ac:dyDescent="0.2">
      <c r="A35" s="27"/>
      <c r="B35" s="47"/>
      <c r="C35" s="48"/>
      <c r="D35" s="48"/>
      <c r="E35" s="48"/>
      <c r="F35" s="27"/>
      <c r="G35" s="27"/>
      <c r="H35" s="27"/>
      <c r="I35" s="27"/>
      <c r="J35" s="27"/>
      <c r="K35" s="27"/>
      <c r="L35" s="27"/>
      <c r="M35" s="27"/>
      <c r="N35" s="27"/>
      <c r="O35" s="27"/>
      <c r="P35" s="27"/>
      <c r="Q35" s="27"/>
      <c r="R35" s="27"/>
      <c r="S35" s="27"/>
      <c r="T35" s="27"/>
    </row>
    <row r="36" spans="1:20" ht="26" hidden="1" customHeight="1" x14ac:dyDescent="0.2">
      <c r="A36" s="27"/>
      <c r="B36" s="49"/>
      <c r="C36" s="48"/>
      <c r="D36" s="48"/>
      <c r="E36" s="48"/>
      <c r="F36" s="27"/>
      <c r="G36" s="27"/>
      <c r="H36" s="27"/>
      <c r="I36" s="27"/>
      <c r="J36" s="27"/>
      <c r="K36" s="27"/>
      <c r="L36" s="27"/>
      <c r="M36" s="27"/>
      <c r="N36" s="27"/>
      <c r="O36" s="27"/>
      <c r="P36" s="27"/>
      <c r="Q36" s="27"/>
      <c r="R36" s="27"/>
      <c r="S36" s="27"/>
      <c r="T36" s="27"/>
    </row>
    <row r="37" spans="1:20" ht="26" hidden="1" customHeight="1" x14ac:dyDescent="0.2">
      <c r="A37" s="27"/>
      <c r="B37" s="49"/>
      <c r="C37" s="48"/>
      <c r="D37" s="48"/>
      <c r="E37" s="48"/>
      <c r="F37" s="27"/>
      <c r="G37" s="27"/>
      <c r="H37" s="27"/>
      <c r="I37" s="27"/>
      <c r="J37" s="27"/>
      <c r="K37" s="27"/>
      <c r="L37" s="27"/>
      <c r="M37" s="27"/>
      <c r="N37" s="27"/>
      <c r="O37" s="27"/>
      <c r="P37" s="27"/>
      <c r="Q37" s="27"/>
      <c r="R37" s="27"/>
      <c r="S37" s="27"/>
      <c r="T37" s="27"/>
    </row>
    <row r="38" spans="1:20" ht="26" hidden="1" customHeight="1" x14ac:dyDescent="0.2">
      <c r="A38" s="27"/>
      <c r="B38" s="49"/>
      <c r="C38" s="48"/>
      <c r="D38" s="48"/>
      <c r="E38" s="48"/>
      <c r="F38" s="27"/>
      <c r="G38" s="27"/>
      <c r="H38" s="27"/>
      <c r="I38" s="27"/>
      <c r="J38" s="27"/>
      <c r="K38" s="27"/>
      <c r="L38" s="27"/>
      <c r="M38" s="27"/>
      <c r="N38" s="27"/>
      <c r="O38" s="27"/>
      <c r="P38" s="27"/>
      <c r="Q38" s="27"/>
      <c r="R38" s="27"/>
      <c r="S38" s="27"/>
      <c r="T38" s="27"/>
    </row>
    <row r="39" spans="1:20" hidden="1" x14ac:dyDescent="0.2">
      <c r="A39" s="27"/>
      <c r="B39" s="49"/>
      <c r="C39" s="48"/>
      <c r="D39" s="48"/>
      <c r="E39" s="48"/>
      <c r="F39" s="27"/>
      <c r="G39" s="27"/>
      <c r="H39" s="27"/>
      <c r="I39" s="27"/>
      <c r="J39" s="27"/>
      <c r="K39" s="27"/>
      <c r="L39" s="27"/>
      <c r="M39" s="27"/>
      <c r="N39" s="27"/>
      <c r="O39" s="27"/>
      <c r="P39" s="27"/>
      <c r="Q39" s="27"/>
      <c r="R39" s="27"/>
      <c r="S39" s="27"/>
      <c r="T39" s="27"/>
    </row>
    <row r="40" spans="1:20" hidden="1" x14ac:dyDescent="0.2">
      <c r="A40" s="27"/>
      <c r="B40" s="49"/>
      <c r="C40" s="48"/>
      <c r="D40" s="48"/>
      <c r="E40" s="48"/>
      <c r="F40" s="27"/>
      <c r="G40" s="27"/>
      <c r="H40" s="27"/>
      <c r="I40" s="27"/>
      <c r="J40" s="27"/>
      <c r="K40" s="27"/>
      <c r="L40" s="27"/>
      <c r="M40" s="27"/>
      <c r="N40" s="27"/>
      <c r="O40" s="27"/>
      <c r="P40" s="27"/>
      <c r="Q40" s="27"/>
      <c r="R40" s="27"/>
      <c r="S40" s="27"/>
      <c r="T40" s="27"/>
    </row>
    <row r="41" spans="1:20" hidden="1" x14ac:dyDescent="0.2">
      <c r="A41" s="27"/>
      <c r="B41" s="49"/>
      <c r="C41" s="48"/>
      <c r="D41" s="48"/>
      <c r="E41" s="48"/>
      <c r="F41" s="27"/>
      <c r="G41" s="27"/>
      <c r="H41" s="27"/>
      <c r="I41" s="27"/>
      <c r="J41" s="27"/>
      <c r="K41" s="27"/>
      <c r="L41" s="27"/>
      <c r="M41" s="27"/>
      <c r="N41" s="27"/>
      <c r="O41" s="27"/>
      <c r="P41" s="27"/>
      <c r="Q41" s="27"/>
      <c r="R41" s="27"/>
      <c r="S41" s="27"/>
      <c r="T41" s="27"/>
    </row>
    <row r="42" spans="1:20" hidden="1" x14ac:dyDescent="0.2">
      <c r="A42" s="27"/>
      <c r="B42" s="49"/>
      <c r="C42" s="48"/>
      <c r="D42" s="48"/>
      <c r="E42" s="48"/>
      <c r="F42" s="27"/>
      <c r="G42" s="27"/>
      <c r="H42" s="27"/>
      <c r="I42" s="27"/>
      <c r="J42" s="27"/>
      <c r="K42" s="27"/>
      <c r="L42" s="27"/>
      <c r="M42" s="27"/>
      <c r="N42" s="27"/>
      <c r="O42" s="27"/>
      <c r="P42" s="27"/>
      <c r="Q42" s="27"/>
      <c r="R42" s="27"/>
      <c r="S42" s="27"/>
      <c r="T42" s="27"/>
    </row>
    <row r="43" spans="1:20" hidden="1" x14ac:dyDescent="0.2">
      <c r="A43" s="27"/>
      <c r="B43" s="49"/>
      <c r="C43" s="48"/>
      <c r="D43" s="48"/>
      <c r="E43" s="48"/>
      <c r="F43" s="27"/>
      <c r="G43" s="27"/>
      <c r="H43" s="27"/>
      <c r="I43" s="27"/>
      <c r="J43" s="27"/>
      <c r="K43" s="27"/>
      <c r="L43" s="27"/>
      <c r="M43" s="27"/>
      <c r="N43" s="27"/>
      <c r="O43" s="27"/>
      <c r="P43" s="27"/>
      <c r="Q43" s="27"/>
      <c r="R43" s="27"/>
      <c r="S43" s="27"/>
      <c r="T43" s="27"/>
    </row>
    <row r="44" spans="1:20" hidden="1" x14ac:dyDescent="0.2">
      <c r="A44" s="27"/>
      <c r="B44" s="49"/>
      <c r="C44" s="48"/>
      <c r="D44" s="48"/>
      <c r="E44" s="48"/>
      <c r="F44" s="27"/>
      <c r="G44" s="27"/>
      <c r="H44" s="27"/>
      <c r="I44" s="27"/>
      <c r="J44" s="27"/>
      <c r="K44" s="27"/>
      <c r="L44" s="27"/>
      <c r="M44" s="27"/>
      <c r="N44" s="27"/>
      <c r="O44" s="27"/>
      <c r="P44" s="27"/>
      <c r="Q44" s="27"/>
      <c r="R44" s="27"/>
      <c r="S44" s="27"/>
      <c r="T44" s="27"/>
    </row>
    <row r="45" spans="1:20" hidden="1" x14ac:dyDescent="0.2">
      <c r="A45" s="27"/>
      <c r="B45" s="49"/>
      <c r="C45" s="48"/>
      <c r="D45" s="48"/>
      <c r="E45" s="48"/>
      <c r="F45" s="27"/>
      <c r="G45" s="27"/>
      <c r="H45" s="27"/>
      <c r="I45" s="27"/>
      <c r="J45" s="27"/>
      <c r="K45" s="27"/>
      <c r="L45" s="27"/>
      <c r="M45" s="27"/>
      <c r="N45" s="27"/>
      <c r="O45" s="27"/>
      <c r="P45" s="27"/>
      <c r="Q45" s="27"/>
      <c r="R45" s="27"/>
      <c r="S45" s="27"/>
      <c r="T45" s="27"/>
    </row>
    <row r="46" spans="1:20" hidden="1" x14ac:dyDescent="0.2">
      <c r="A46" s="27"/>
      <c r="B46" s="49"/>
      <c r="C46" s="48"/>
      <c r="D46" s="48"/>
      <c r="E46" s="48"/>
      <c r="F46" s="27"/>
      <c r="G46" s="27"/>
      <c r="H46" s="27"/>
      <c r="I46" s="27"/>
      <c r="J46" s="27"/>
      <c r="K46" s="27"/>
      <c r="L46" s="27"/>
      <c r="M46" s="27"/>
      <c r="N46" s="27"/>
      <c r="O46" s="27"/>
      <c r="P46" s="27"/>
      <c r="Q46" s="27"/>
      <c r="R46" s="27"/>
      <c r="S46" s="27"/>
      <c r="T46" s="27"/>
    </row>
    <row r="47" spans="1:20" hidden="1" x14ac:dyDescent="0.2">
      <c r="A47" s="27"/>
      <c r="B47" s="49"/>
      <c r="C47" s="48"/>
      <c r="D47" s="48"/>
      <c r="E47" s="48"/>
      <c r="F47" s="27"/>
      <c r="G47" s="27"/>
      <c r="H47" s="27"/>
      <c r="I47" s="27"/>
      <c r="J47" s="27"/>
      <c r="K47" s="27"/>
      <c r="L47" s="27"/>
      <c r="M47" s="27"/>
      <c r="N47" s="27"/>
      <c r="O47" s="27"/>
      <c r="P47" s="27"/>
      <c r="Q47" s="27"/>
      <c r="R47" s="27"/>
      <c r="S47" s="27"/>
      <c r="T47" s="27"/>
    </row>
    <row r="48" spans="1:20" hidden="1" x14ac:dyDescent="0.2">
      <c r="A48" s="27"/>
      <c r="B48" s="49"/>
      <c r="C48" s="48"/>
      <c r="D48" s="48"/>
      <c r="E48" s="48"/>
      <c r="F48" s="27"/>
      <c r="G48" s="27"/>
      <c r="H48" s="27"/>
      <c r="I48" s="27"/>
      <c r="J48" s="27"/>
      <c r="K48" s="27"/>
      <c r="L48" s="27"/>
      <c r="M48" s="27"/>
      <c r="N48" s="27"/>
      <c r="O48" s="27"/>
      <c r="P48" s="27"/>
      <c r="Q48" s="27"/>
      <c r="R48" s="27"/>
      <c r="S48" s="27"/>
      <c r="T48" s="27"/>
    </row>
    <row r="49" spans="1:20" hidden="1" x14ac:dyDescent="0.2">
      <c r="A49" s="27"/>
      <c r="B49" s="49"/>
      <c r="C49" s="48"/>
      <c r="D49" s="48"/>
      <c r="E49" s="48"/>
      <c r="F49" s="27"/>
      <c r="G49" s="27"/>
      <c r="H49" s="27"/>
      <c r="I49" s="27"/>
      <c r="J49" s="27"/>
      <c r="K49" s="27"/>
      <c r="L49" s="27"/>
      <c r="M49" s="27"/>
      <c r="N49" s="27"/>
      <c r="O49" s="27"/>
      <c r="P49" s="27"/>
      <c r="Q49" s="27"/>
      <c r="R49" s="27"/>
      <c r="S49" s="27"/>
      <c r="T49" s="27"/>
    </row>
    <row r="50" spans="1:20" hidden="1" x14ac:dyDescent="0.2">
      <c r="A50" s="27"/>
      <c r="B50" s="49"/>
      <c r="C50" s="48"/>
      <c r="D50" s="48"/>
      <c r="E50" s="48"/>
      <c r="F50" s="27"/>
      <c r="G50" s="27"/>
      <c r="H50" s="27"/>
      <c r="I50" s="27"/>
      <c r="J50" s="27"/>
      <c r="K50" s="27"/>
      <c r="L50" s="27"/>
      <c r="M50" s="27"/>
      <c r="N50" s="27"/>
      <c r="O50" s="27"/>
      <c r="P50" s="27"/>
      <c r="Q50" s="27"/>
      <c r="R50" s="27"/>
      <c r="S50" s="27"/>
      <c r="T50" s="27"/>
    </row>
    <row r="51" spans="1:20" hidden="1" x14ac:dyDescent="0.2">
      <c r="A51" s="27"/>
      <c r="B51" s="49"/>
      <c r="C51" s="48"/>
      <c r="D51" s="48"/>
      <c r="E51" s="48"/>
      <c r="F51" s="27"/>
      <c r="G51" s="27"/>
      <c r="H51" s="27"/>
      <c r="I51" s="27"/>
      <c r="J51" s="27"/>
      <c r="K51" s="27"/>
      <c r="L51" s="27"/>
      <c r="M51" s="27"/>
      <c r="N51" s="27"/>
      <c r="O51" s="27"/>
      <c r="P51" s="27"/>
      <c r="Q51" s="27"/>
      <c r="R51" s="27"/>
      <c r="S51" s="27"/>
      <c r="T51" s="27"/>
    </row>
    <row r="52" spans="1:20" hidden="1" x14ac:dyDescent="0.2">
      <c r="A52" s="27"/>
      <c r="B52" s="49"/>
      <c r="C52" s="48"/>
      <c r="D52" s="48"/>
      <c r="E52" s="48"/>
      <c r="F52" s="27"/>
      <c r="G52" s="27"/>
      <c r="H52" s="27"/>
      <c r="I52" s="27"/>
      <c r="J52" s="27"/>
      <c r="K52" s="27"/>
      <c r="L52" s="27"/>
      <c r="M52" s="27"/>
      <c r="N52" s="27"/>
      <c r="O52" s="27"/>
      <c r="P52" s="27"/>
      <c r="Q52" s="27"/>
      <c r="R52" s="27"/>
      <c r="S52" s="27"/>
      <c r="T52" s="27"/>
    </row>
    <row r="53" spans="1:20" hidden="1" x14ac:dyDescent="0.2">
      <c r="A53" s="27"/>
      <c r="B53" s="49"/>
      <c r="C53" s="48"/>
      <c r="D53" s="48"/>
      <c r="E53" s="48"/>
      <c r="F53" s="27"/>
      <c r="G53" s="27"/>
      <c r="H53" s="27"/>
      <c r="I53" s="27"/>
      <c r="J53" s="27"/>
      <c r="K53" s="27"/>
      <c r="L53" s="27"/>
      <c r="M53" s="27"/>
      <c r="N53" s="27"/>
      <c r="O53" s="27"/>
      <c r="P53" s="27"/>
      <c r="Q53" s="27"/>
      <c r="R53" s="27"/>
      <c r="S53" s="27"/>
      <c r="T53" s="27"/>
    </row>
    <row r="54" spans="1:20" hidden="1" x14ac:dyDescent="0.2">
      <c r="A54" s="27"/>
      <c r="B54" s="49"/>
      <c r="C54" s="48"/>
      <c r="D54" s="48"/>
      <c r="E54" s="48"/>
      <c r="F54" s="27"/>
      <c r="G54" s="27"/>
      <c r="H54" s="27"/>
      <c r="I54" s="27"/>
      <c r="J54" s="27"/>
      <c r="K54" s="27"/>
      <c r="L54" s="27"/>
      <c r="M54" s="27"/>
      <c r="N54" s="27"/>
      <c r="O54" s="27"/>
      <c r="P54" s="27"/>
      <c r="Q54" s="27"/>
      <c r="R54" s="27"/>
      <c r="S54" s="27"/>
      <c r="T54" s="27"/>
    </row>
    <row r="55" spans="1:20" hidden="1" x14ac:dyDescent="0.2">
      <c r="B55" s="50"/>
      <c r="C55" s="51"/>
      <c r="D55" s="51"/>
      <c r="E55" s="51"/>
      <c r="I55" s="27"/>
    </row>
    <row r="56" spans="1:20" hidden="1" x14ac:dyDescent="0.2">
      <c r="B56" s="50"/>
      <c r="C56" s="51"/>
      <c r="D56" s="51"/>
      <c r="E56" s="51"/>
    </row>
    <row r="57" spans="1:20" hidden="1" x14ac:dyDescent="0.2">
      <c r="B57" s="50"/>
      <c r="C57" s="51"/>
      <c r="D57" s="51"/>
      <c r="E57" s="51"/>
    </row>
    <row r="58" spans="1:20" hidden="1" x14ac:dyDescent="0.2">
      <c r="B58" s="50"/>
      <c r="C58" s="51"/>
      <c r="D58" s="51"/>
      <c r="E58" s="51"/>
    </row>
    <row r="59" spans="1:20" hidden="1" x14ac:dyDescent="0.2">
      <c r="B59" s="50"/>
      <c r="C59" s="51"/>
      <c r="D59" s="51"/>
      <c r="E59" s="51"/>
    </row>
    <row r="60" spans="1:20" hidden="1" x14ac:dyDescent="0.2">
      <c r="B60" s="50"/>
      <c r="C60" s="51"/>
      <c r="D60" s="51"/>
      <c r="E60" s="51"/>
    </row>
    <row r="61" spans="1:20" hidden="1" x14ac:dyDescent="0.2">
      <c r="B61" s="50"/>
      <c r="C61" s="51"/>
      <c r="D61" s="51"/>
      <c r="E61" s="51"/>
    </row>
    <row r="62" spans="1:20" hidden="1" x14ac:dyDescent="0.2">
      <c r="B62" s="50"/>
      <c r="C62" s="51"/>
      <c r="D62" s="51"/>
      <c r="E62" s="51"/>
    </row>
    <row r="63" spans="1:20" hidden="1" x14ac:dyDescent="0.2">
      <c r="B63" s="50"/>
      <c r="C63" s="51"/>
      <c r="D63" s="51"/>
      <c r="E63" s="51"/>
    </row>
    <row r="64" spans="1:20" hidden="1" x14ac:dyDescent="0.2">
      <c r="B64" s="50"/>
      <c r="C64" s="51"/>
      <c r="D64" s="51"/>
      <c r="E64" s="51"/>
    </row>
    <row r="65" x14ac:dyDescent="0.2"/>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dimension ref="A1:N76"/>
  <sheetViews>
    <sheetView showGridLines="0" topLeftCell="A25" workbookViewId="0">
      <selection activeCell="C31" sqref="C31"/>
    </sheetView>
  </sheetViews>
  <sheetFormatPr baseColWidth="10" defaultRowHeight="15" x14ac:dyDescent="0.2"/>
  <cols>
    <col min="1" max="1" width="38.5" bestFit="1" customWidth="1"/>
    <col min="2" max="12" width="11.5" style="215"/>
  </cols>
  <sheetData>
    <row r="1" spans="1:11" x14ac:dyDescent="0.2">
      <c r="A1" s="78" t="s">
        <v>112</v>
      </c>
      <c r="B1" s="214">
        <f>'1.IS'!B2</f>
        <v>2016</v>
      </c>
      <c r="C1" s="214">
        <f>'1.IS'!C2</f>
        <v>2017</v>
      </c>
      <c r="D1" s="214">
        <f>'1.IS'!D2</f>
        <v>2018</v>
      </c>
      <c r="E1" s="214">
        <f>'1.IS'!E2</f>
        <v>2019</v>
      </c>
      <c r="F1" s="214">
        <f>'1.IS'!F2</f>
        <v>2020</v>
      </c>
      <c r="G1" s="214">
        <f>'1.IS'!G2</f>
        <v>2021</v>
      </c>
      <c r="H1" s="214">
        <f>'1.IS'!H2</f>
        <v>2022</v>
      </c>
      <c r="I1" s="214">
        <f>'1.IS'!I2</f>
        <v>2023</v>
      </c>
      <c r="J1" s="214">
        <f>'1.IS'!J2</f>
        <v>2024</v>
      </c>
      <c r="K1" s="214">
        <f>'1.IS'!K2</f>
        <v>2025</v>
      </c>
    </row>
    <row r="2" spans="1:11" x14ac:dyDescent="0.2">
      <c r="A2" t="s">
        <v>114</v>
      </c>
      <c r="B2" s="216">
        <f>IFERROR(VLOOKUP($A2,'9.TIKR_CF'!$A:$K,COLUMN(B2),FALSE),"0")</f>
        <v>-1143</v>
      </c>
      <c r="C2" s="216">
        <f>IFERROR(VLOOKUP($A2,'9.TIKR_CF'!$A:$K,COLUMN(C2),FALSE),"0")</f>
        <v>-1105</v>
      </c>
      <c r="D2" s="216">
        <f>IFERROR(VLOOKUP($A2,'9.TIKR_CF'!$A:$K,COLUMN(D2),FALSE),"0")</f>
        <v>-1028</v>
      </c>
      <c r="E2" s="216">
        <f>IFERROR(VLOOKUP($A2,'9.TIKR_CF'!$A:$K,COLUMN(E2),FALSE),"0")</f>
        <v>-1119</v>
      </c>
      <c r="F2" s="216">
        <f>IFERROR(VLOOKUP($A2,'9.TIKR_CF'!$A:$K,COLUMN(F2),FALSE),"0")</f>
        <v>-1086</v>
      </c>
      <c r="G2" s="216">
        <f>IFERROR(VLOOKUP($A2,'9.TIKR_CF'!$A:$K,COLUMN(G2),FALSE),"0")</f>
        <v>-695</v>
      </c>
      <c r="H2" s="216">
        <f>IFERROR(VLOOKUP($A2,'9.TIKR_CF'!$A:$K,COLUMN(H2),FALSE),"0")</f>
        <v>-758</v>
      </c>
      <c r="I2" s="216">
        <f>IFERROR(VLOOKUP($A2,'9.TIKR_CF'!$A:$K,COLUMN(I2),FALSE),"0")</f>
        <v>-969</v>
      </c>
      <c r="J2" s="216">
        <f>IFERROR(VLOOKUP($A2,'9.TIKR_CF'!$A:$K,COLUMN(J2),FALSE),"0")</f>
        <v>-812</v>
      </c>
      <c r="K2" s="216">
        <f>IFERROR(VLOOKUP($A2,'9.TIKR_CF'!$A:$K,COLUMN(K2),FALSE),"0")</f>
        <v>-430</v>
      </c>
    </row>
    <row r="3" spans="1:11" x14ac:dyDescent="0.2">
      <c r="A3" t="s">
        <v>155</v>
      </c>
      <c r="B3" s="216" t="str">
        <f>IFERROR(VLOOKUP($A3,'9.TIKR_CF'!$A:$K,COLUMN(B3),FALSE),"0")</f>
        <v>0</v>
      </c>
      <c r="C3" s="216" t="str">
        <f>IFERROR(VLOOKUP($A3,'9.TIKR_CF'!$A:$K,COLUMN(C3),FALSE),"0")</f>
        <v>0</v>
      </c>
      <c r="D3" s="216" t="str">
        <f>IFERROR(VLOOKUP($A3,'9.TIKR_CF'!$A:$K,COLUMN(D3),FALSE),"0")</f>
        <v>0</v>
      </c>
      <c r="E3" s="216" t="str">
        <f>IFERROR(VLOOKUP($A3,'9.TIKR_CF'!$A:$K,COLUMN(E3),FALSE),"0")</f>
        <v>0</v>
      </c>
      <c r="F3" s="216" t="str">
        <f>IFERROR(VLOOKUP($A3,'9.TIKR_CF'!$A:$K,COLUMN(F3),FALSE),"0")</f>
        <v>0</v>
      </c>
      <c r="G3" s="216" t="str">
        <f>IFERROR(VLOOKUP($A3,'9.TIKR_CF'!$A:$K,COLUMN(G3),FALSE),"0")</f>
        <v>0</v>
      </c>
      <c r="H3" s="216" t="str">
        <f>IFERROR(VLOOKUP($A3,'9.TIKR_CF'!$A:$K,COLUMN(H3),FALSE),"0")</f>
        <v>0</v>
      </c>
      <c r="I3" s="216" t="str">
        <f>IFERROR(VLOOKUP($A3,'9.TIKR_CF'!$A:$K,COLUMN(I3),FALSE),"0")</f>
        <v>0</v>
      </c>
      <c r="J3" s="216" t="str">
        <f>IFERROR(VLOOKUP($A3,'9.TIKR_CF'!$A:$K,COLUMN(J3),FALSE),"0")</f>
        <v>0</v>
      </c>
      <c r="K3" s="216" t="str">
        <f>IFERROR(VLOOKUP($A3,'9.TIKR_CF'!$A:$K,COLUMN(K3),FALSE),"0")</f>
        <v>0</v>
      </c>
    </row>
    <row r="4" spans="1:11" x14ac:dyDescent="0.2">
      <c r="A4" s="170" t="s">
        <v>115</v>
      </c>
      <c r="B4" s="217">
        <f>IFERROR(VLOOKUP($A4,'9.TIKR_CF'!$A:$K,COLUMN(B4),FALSE),"0")</f>
        <v>10</v>
      </c>
      <c r="C4" s="217">
        <f>IFERROR(VLOOKUP($A4,'9.TIKR_CF'!$A:$K,COLUMN(C4),FALSE),"0")</f>
        <v>13</v>
      </c>
      <c r="D4" s="217">
        <f>IFERROR(VLOOKUP($A4,'9.TIKR_CF'!$A:$K,COLUMN(D4),FALSE),"0")</f>
        <v>0</v>
      </c>
      <c r="E4" s="217">
        <f>IFERROR(VLOOKUP($A4,'9.TIKR_CF'!$A:$K,COLUMN(E4),FALSE),"0")</f>
        <v>0</v>
      </c>
      <c r="F4" s="217">
        <f>IFERROR(VLOOKUP($A4,'9.TIKR_CF'!$A:$K,COLUMN(F4),FALSE),"0")</f>
        <v>0</v>
      </c>
      <c r="G4" s="217">
        <f>IFERROR(VLOOKUP($A4,'9.TIKR_CF'!$A:$K,COLUMN(G4),FALSE),"0")</f>
        <v>0</v>
      </c>
      <c r="H4" s="217">
        <f>IFERROR(VLOOKUP($A4,'9.TIKR_CF'!$A:$K,COLUMN(H4),FALSE),"0")</f>
        <v>0</v>
      </c>
      <c r="I4" s="218">
        <f>IFERROR(VLOOKUP($A4,'9.TIKR_CF'!$A:$K,COLUMN(I4),FALSE),"0")</f>
        <v>0</v>
      </c>
      <c r="J4" s="218">
        <f>IFERROR(VLOOKUP($A4,'9.TIKR_CF'!$A:$K,COLUMN(J4),FALSE),"0")</f>
        <v>0</v>
      </c>
      <c r="K4" s="218">
        <f>IFERROR(VLOOKUP($A4,'9.TIKR_CF'!$A:$K,COLUMN(K4),FALSE),"0")</f>
        <v>0</v>
      </c>
    </row>
    <row r="5" spans="1:11" x14ac:dyDescent="0.2">
      <c r="A5" t="s">
        <v>110</v>
      </c>
      <c r="B5" s="216">
        <f t="shared" ref="B5:K5" si="0">SUM(B2:B4)</f>
        <v>-1133</v>
      </c>
      <c r="C5" s="216">
        <f t="shared" si="0"/>
        <v>-1092</v>
      </c>
      <c r="D5" s="216">
        <f t="shared" si="0"/>
        <v>-1028</v>
      </c>
      <c r="E5" s="216">
        <f t="shared" si="0"/>
        <v>-1119</v>
      </c>
      <c r="F5" s="216">
        <f t="shared" si="0"/>
        <v>-1086</v>
      </c>
      <c r="G5" s="216">
        <f t="shared" si="0"/>
        <v>-695</v>
      </c>
      <c r="H5" s="216">
        <f t="shared" si="0"/>
        <v>-758</v>
      </c>
      <c r="I5" s="216">
        <f t="shared" si="0"/>
        <v>-969</v>
      </c>
      <c r="J5" s="216">
        <f t="shared" si="0"/>
        <v>-812</v>
      </c>
      <c r="K5" s="216">
        <f t="shared" si="0"/>
        <v>-430</v>
      </c>
    </row>
    <row r="6" spans="1:11" x14ac:dyDescent="0.2">
      <c r="A6" s="170" t="s">
        <v>113</v>
      </c>
      <c r="B6" s="217">
        <f>IFERROR(VLOOKUP($A6,'9.TIKR_CF'!$A:$K,COLUMN(B6),FALSE),"0")</f>
        <v>649</v>
      </c>
      <c r="C6" s="217">
        <f>IFERROR(VLOOKUP($A6,'9.TIKR_CF'!$A:$K,COLUMN(C6),FALSE),"0")</f>
        <v>706</v>
      </c>
      <c r="D6" s="217">
        <f>IFERROR(VLOOKUP($A6,'9.TIKR_CF'!$A:$K,COLUMN(D6),FALSE),"0")</f>
        <v>747</v>
      </c>
      <c r="E6" s="217">
        <f>IFERROR(VLOOKUP($A6,'9.TIKR_CF'!$A:$K,COLUMN(E6),FALSE),"0")</f>
        <v>705</v>
      </c>
      <c r="F6" s="217">
        <f>IFERROR(VLOOKUP($A6,'9.TIKR_CF'!$A:$K,COLUMN(F6),FALSE),"0")</f>
        <v>721</v>
      </c>
      <c r="G6" s="217">
        <f>IFERROR(VLOOKUP($A6,'9.TIKR_CF'!$A:$K,COLUMN(G6),FALSE),"0")</f>
        <v>744</v>
      </c>
      <c r="H6" s="217">
        <f>IFERROR(VLOOKUP($A6,'9.TIKR_CF'!$A:$K,COLUMN(H6),FALSE),"0")</f>
        <v>717</v>
      </c>
      <c r="I6" s="217">
        <f>IFERROR(VLOOKUP($A6,'9.TIKR_CF'!$A:$K,COLUMN(I6),FALSE),"0")</f>
        <v>703</v>
      </c>
      <c r="J6" s="217">
        <f>IFERROR(VLOOKUP($A6,'9.TIKR_CF'!$A:$K,COLUMN(J6),FALSE),"0")</f>
        <v>796</v>
      </c>
      <c r="K6" s="217">
        <f>IFERROR(VLOOKUP($A6,'9.TIKR_CF'!$A:$K,COLUMN(K6),FALSE),"0")</f>
        <v>775</v>
      </c>
    </row>
    <row r="7" spans="1:11" x14ac:dyDescent="0.2">
      <c r="A7" s="75" t="s">
        <v>111</v>
      </c>
      <c r="B7" s="219">
        <f t="shared" ref="B7:H7" si="1">IF(ABS(B5)&lt;B6,B5,-B6)</f>
        <v>-649</v>
      </c>
      <c r="C7" s="219">
        <f t="shared" si="1"/>
        <v>-706</v>
      </c>
      <c r="D7" s="219">
        <f t="shared" si="1"/>
        <v>-747</v>
      </c>
      <c r="E7" s="219">
        <f t="shared" si="1"/>
        <v>-705</v>
      </c>
      <c r="F7" s="219">
        <f t="shared" si="1"/>
        <v>-721</v>
      </c>
      <c r="G7" s="219">
        <f t="shared" si="1"/>
        <v>-695</v>
      </c>
      <c r="H7" s="219">
        <f t="shared" si="1"/>
        <v>-717</v>
      </c>
      <c r="I7" s="219">
        <f t="shared" ref="I7:K7" si="2">IF(ABS(I5)&lt;I6,I5,-I6)</f>
        <v>-703</v>
      </c>
      <c r="J7" s="219">
        <f t="shared" si="2"/>
        <v>-796</v>
      </c>
      <c r="K7" s="219">
        <f t="shared" si="2"/>
        <v>-430</v>
      </c>
    </row>
    <row r="9" spans="1:11" x14ac:dyDescent="0.2">
      <c r="A9" s="78" t="s">
        <v>118</v>
      </c>
      <c r="B9" s="214">
        <f>'1.IS'!B2</f>
        <v>2016</v>
      </c>
      <c r="C9" s="214">
        <f>'1.IS'!C2</f>
        <v>2017</v>
      </c>
      <c r="D9" s="214">
        <f>'1.IS'!D2</f>
        <v>2018</v>
      </c>
      <c r="E9" s="214">
        <f>'1.IS'!E2</f>
        <v>2019</v>
      </c>
      <c r="F9" s="214">
        <f>'1.IS'!F2</f>
        <v>2020</v>
      </c>
      <c r="G9" s="214">
        <f>'1.IS'!G2</f>
        <v>2021</v>
      </c>
      <c r="H9" s="214">
        <f>'1.IS'!H2</f>
        <v>2022</v>
      </c>
      <c r="I9" s="214">
        <f>'1.IS'!I2</f>
        <v>2023</v>
      </c>
      <c r="J9" s="214">
        <f>'1.IS'!J2</f>
        <v>2024</v>
      </c>
      <c r="K9" s="214">
        <f>'1.IS'!K2</f>
        <v>2025</v>
      </c>
    </row>
    <row r="10" spans="1:11" x14ac:dyDescent="0.2">
      <c r="A10" t="s">
        <v>119</v>
      </c>
      <c r="B10" s="216">
        <f>B5-B7</f>
        <v>-484</v>
      </c>
      <c r="C10" s="216">
        <f t="shared" ref="C10:K10" si="3">C5-C7</f>
        <v>-386</v>
      </c>
      <c r="D10" s="216">
        <f t="shared" si="3"/>
        <v>-281</v>
      </c>
      <c r="E10" s="216">
        <f t="shared" si="3"/>
        <v>-414</v>
      </c>
      <c r="F10" s="216">
        <f t="shared" si="3"/>
        <v>-365</v>
      </c>
      <c r="G10" s="216">
        <f t="shared" si="3"/>
        <v>0</v>
      </c>
      <c r="H10" s="216">
        <f t="shared" si="3"/>
        <v>-41</v>
      </c>
      <c r="I10" s="216">
        <f t="shared" si="3"/>
        <v>-266</v>
      </c>
      <c r="J10" s="216">
        <f t="shared" si="3"/>
        <v>-16</v>
      </c>
      <c r="K10" s="216">
        <f t="shared" si="3"/>
        <v>0</v>
      </c>
    </row>
    <row r="11" spans="1:11" x14ac:dyDescent="0.2">
      <c r="A11" s="170" t="s">
        <v>137</v>
      </c>
      <c r="B11" s="220">
        <f>IFERROR(VLOOKUP("Cash Acquisitions*",'9.TIKR_CF'!$A:$K,COLUMN(B11),FALSE),"0")</f>
        <v>0</v>
      </c>
      <c r="C11" s="220">
        <f>IFERROR(VLOOKUP("Cash Acquisitions*",'9.TIKR_CF'!$A:$K,COLUMN(C11),FALSE),"0")</f>
        <v>0</v>
      </c>
      <c r="D11" s="220">
        <f>IFERROR(VLOOKUP("Cash Acquisitions*",'9.TIKR_CF'!$A:$K,COLUMN(D11),FALSE),"0")</f>
        <v>0</v>
      </c>
      <c r="E11" s="220">
        <f>IFERROR(VLOOKUP("Cash Acquisitions*",'9.TIKR_CF'!$A:$K,COLUMN(E11),FALSE),"0")</f>
        <v>0</v>
      </c>
      <c r="F11" s="220">
        <f>IFERROR(VLOOKUP("Cash Acquisitions*",'9.TIKR_CF'!$A:$K,COLUMN(F11),FALSE),"0")</f>
        <v>0</v>
      </c>
      <c r="G11" s="220">
        <f>IFERROR(VLOOKUP("Cash Acquisitions*",'9.TIKR_CF'!$A:$K,COLUMN(G11),FALSE),"0")</f>
        <v>0</v>
      </c>
      <c r="H11" s="220">
        <f>IFERROR(VLOOKUP("Cash Acquisitions*",'9.TIKR_CF'!$A:$K,COLUMN(H11),FALSE),"0")</f>
        <v>0</v>
      </c>
      <c r="I11" s="220">
        <f>IFERROR(VLOOKUP("Cash Acquisitions*",'9.TIKR_CF'!$A:$K,COLUMN(I11),FALSE),"0")</f>
        <v>0</v>
      </c>
      <c r="J11" s="220">
        <f>IFERROR(VLOOKUP("Cash Acquisitions*",'9.TIKR_CF'!$A:$K,COLUMN(J11),FALSE),"0")</f>
        <v>0</v>
      </c>
      <c r="K11" s="220">
        <f>IFERROR(VLOOKUP("Cash Acquisitions*",'9.TIKR_CF'!$A:$K,COLUMN(K11),FALSE),"0")</f>
        <v>0</v>
      </c>
    </row>
    <row r="12" spans="1:11" x14ac:dyDescent="0.2">
      <c r="A12" s="75" t="s">
        <v>120</v>
      </c>
      <c r="B12" s="219">
        <f>ABS(SUM(B10:B11))</f>
        <v>484</v>
      </c>
      <c r="C12" s="219">
        <f t="shared" ref="C12:K12" si="4">ABS(SUM(C10:C11))</f>
        <v>386</v>
      </c>
      <c r="D12" s="219">
        <f t="shared" si="4"/>
        <v>281</v>
      </c>
      <c r="E12" s="219">
        <f t="shared" si="4"/>
        <v>414</v>
      </c>
      <c r="F12" s="219">
        <f t="shared" si="4"/>
        <v>365</v>
      </c>
      <c r="G12" s="219">
        <f t="shared" si="4"/>
        <v>0</v>
      </c>
      <c r="H12" s="219">
        <f t="shared" si="4"/>
        <v>41</v>
      </c>
      <c r="I12" s="219">
        <f t="shared" si="4"/>
        <v>266</v>
      </c>
      <c r="J12" s="219">
        <f t="shared" si="4"/>
        <v>16</v>
      </c>
      <c r="K12" s="219">
        <f t="shared" si="4"/>
        <v>0</v>
      </c>
    </row>
    <row r="14" spans="1:11" x14ac:dyDescent="0.2">
      <c r="A14" s="78" t="s">
        <v>79</v>
      </c>
      <c r="B14" s="214" t="str">
        <f>'1.IS'!L2</f>
        <v>2026e</v>
      </c>
      <c r="C14" s="214" t="str">
        <f>'1.IS'!M2</f>
        <v>2027e</v>
      </c>
      <c r="D14" s="214" t="str">
        <f>'1.IS'!N2</f>
        <v>2028e</v>
      </c>
      <c r="E14" s="214" t="str">
        <f>'1.IS'!O2</f>
        <v>2029e</v>
      </c>
      <c r="F14" s="214" t="str">
        <f>'1.IS'!P2</f>
        <v>2030e</v>
      </c>
      <c r="G14" s="221"/>
      <c r="H14" s="221"/>
      <c r="I14" s="221"/>
      <c r="J14" s="221"/>
      <c r="K14" s="221"/>
    </row>
    <row r="15" spans="1:11" x14ac:dyDescent="0.2">
      <c r="A15" s="19" t="s">
        <v>122</v>
      </c>
      <c r="B15" s="222">
        <f>'4.Valoración'!$D$12</f>
        <v>45.7</v>
      </c>
      <c r="C15" s="222">
        <f>'4.Valoración'!$D$12</f>
        <v>45.7</v>
      </c>
      <c r="D15" s="222">
        <f>'4.Valoración'!$D$12</f>
        <v>45.7</v>
      </c>
      <c r="E15" s="222">
        <f>'4.Valoración'!$D$12</f>
        <v>45.7</v>
      </c>
      <c r="F15" s="222">
        <f>'4.Valoración'!$D$12</f>
        <v>45.7</v>
      </c>
    </row>
    <row r="17" spans="1:11" x14ac:dyDescent="0.2">
      <c r="A17" s="78" t="s">
        <v>129</v>
      </c>
      <c r="B17" s="223">
        <f>'1.IS'!K2</f>
        <v>2025</v>
      </c>
    </row>
    <row r="18" spans="1:11" x14ac:dyDescent="0.2">
      <c r="A18" t="s">
        <v>131</v>
      </c>
      <c r="B18" s="224">
        <f>IFERROR(SUM('3.ROIC'!$B$6:$K$6)/SUM('3.ROIC'!$B$6:$K$7),0)</f>
        <v>3.7886193311413255E-2</v>
      </c>
    </row>
    <row r="19" spans="1:11" x14ac:dyDescent="0.2">
      <c r="A19" t="s">
        <v>130</v>
      </c>
      <c r="B19" s="225">
        <f>IF(B18=0,0,1-B18)</f>
        <v>0.9621138066885867</v>
      </c>
    </row>
    <row r="20" spans="1:11" x14ac:dyDescent="0.2">
      <c r="A20" t="s">
        <v>146</v>
      </c>
      <c r="B20" s="216">
        <f>SUM('3.ROIC'!B4:K5)</f>
        <v>88219</v>
      </c>
    </row>
    <row r="21" spans="1:11" x14ac:dyDescent="0.2">
      <c r="A21" t="s">
        <v>152</v>
      </c>
      <c r="B21" s="216">
        <f>SUM('3.ROIC'!B5:K5)</f>
        <v>20982</v>
      </c>
    </row>
    <row r="22" spans="1:11" x14ac:dyDescent="0.2">
      <c r="A22" t="s">
        <v>145</v>
      </c>
      <c r="B22" s="216">
        <f>SUM('3.ROIC'!B6:K7)</f>
        <v>67518</v>
      </c>
    </row>
    <row r="23" spans="1:11" x14ac:dyDescent="0.2">
      <c r="A23" t="s">
        <v>147</v>
      </c>
      <c r="B23" s="216">
        <f>B22-B20</f>
        <v>-20701</v>
      </c>
    </row>
    <row r="24" spans="1:11" x14ac:dyDescent="0.2">
      <c r="A24" t="s">
        <v>149</v>
      </c>
      <c r="B24" s="216">
        <f>SUM('1.IS'!B13:K13)</f>
        <v>1512</v>
      </c>
    </row>
    <row r="25" spans="1:11" x14ac:dyDescent="0.2">
      <c r="A25" t="s">
        <v>148</v>
      </c>
      <c r="B25" s="216">
        <f>SUM('1.IS'!B12:K12)</f>
        <v>-1975</v>
      </c>
    </row>
    <row r="26" spans="1:11" x14ac:dyDescent="0.2">
      <c r="A26" t="s">
        <v>150</v>
      </c>
      <c r="B26" s="225">
        <f>IFERROR(B24/B21,0)</f>
        <v>7.2061767229053469E-2</v>
      </c>
    </row>
    <row r="27" spans="1:11" x14ac:dyDescent="0.2">
      <c r="A27" t="s">
        <v>151</v>
      </c>
      <c r="B27" s="225">
        <f>ABS(SUM('1.IS'!B12:K12))/B22</f>
        <v>2.92514588702272E-2</v>
      </c>
    </row>
    <row r="28" spans="1:11" x14ac:dyDescent="0.2">
      <c r="B28" s="225"/>
    </row>
    <row r="29" spans="1:11" x14ac:dyDescent="0.2">
      <c r="A29" s="78" t="s">
        <v>186</v>
      </c>
      <c r="B29" s="214">
        <f>'1.IS'!K2</f>
        <v>2025</v>
      </c>
      <c r="C29" s="243" t="str">
        <f>'1.IS'!L2</f>
        <v>2026e</v>
      </c>
      <c r="D29" s="243" t="str">
        <f>'1.IS'!M2</f>
        <v>2027e</v>
      </c>
      <c r="E29" s="243" t="str">
        <f>'1.IS'!N2</f>
        <v>2028e</v>
      </c>
      <c r="F29" s="243" t="str">
        <f>'1.IS'!O2</f>
        <v>2029e</v>
      </c>
      <c r="G29" s="243" t="str">
        <f>'1.IS'!P2</f>
        <v>2030e</v>
      </c>
    </row>
    <row r="30" spans="1:11" x14ac:dyDescent="0.2">
      <c r="A30" t="s">
        <v>129</v>
      </c>
      <c r="B30" s="216">
        <f>'4.Valoración'!K4</f>
        <v>-1182</v>
      </c>
      <c r="C30" s="244">
        <f>'4.Valoración'!L4</f>
        <v>-2193.5600623790215</v>
      </c>
      <c r="D30" s="244">
        <f>'4.Valoración'!M4</f>
        <v>-2289.0884022162927</v>
      </c>
      <c r="E30" s="244">
        <f>'4.Valoración'!N4</f>
        <v>-2388.7769489558395</v>
      </c>
      <c r="F30" s="244">
        <f>'4.Valoración'!O4</f>
        <v>-2492.8068773307223</v>
      </c>
      <c r="G30" s="244">
        <f>'4.Valoración'!P4</f>
        <v>-2601.3672521344415</v>
      </c>
    </row>
    <row r="31" spans="1:11" x14ac:dyDescent="0.2">
      <c r="A31" t="s">
        <v>187</v>
      </c>
      <c r="B31" s="216">
        <f>B32+B33</f>
        <v>9151</v>
      </c>
      <c r="C31" s="244">
        <f>IF(C30&lt;=0,B31/ABS(B30)*ABS(C30),MIN(B45:K45)*'1.IS'!L3)</f>
        <v>16982.460347572272</v>
      </c>
      <c r="D31" s="244">
        <f>C31/ABS(C30)*ABS(D30)</f>
        <v>17722.037198545935</v>
      </c>
      <c r="E31" s="244">
        <f>D31/ABS(D30)*ABS(E30)</f>
        <v>18493.822216493136</v>
      </c>
      <c r="F31" s="244">
        <f>E31/ABS(E30)*ABS(F30)</f>
        <v>19299.218049452993</v>
      </c>
      <c r="G31" s="244">
        <f>F31/ABS(F30)*ABS(G30)</f>
        <v>20139.688430018843</v>
      </c>
      <c r="I31" s="216"/>
      <c r="K31" s="224"/>
    </row>
    <row r="32" spans="1:11" x14ac:dyDescent="0.2">
      <c r="A32" s="242" t="s">
        <v>188</v>
      </c>
      <c r="B32" s="216">
        <f>'3.ROIC'!K4</f>
        <v>7464</v>
      </c>
      <c r="C32" s="244">
        <f>B32/B31*C31</f>
        <v>13851.719378677679</v>
      </c>
      <c r="D32" s="244">
        <f>C32/'1.IS'!L3*'1.IS'!M3</f>
        <v>14454.954174401362</v>
      </c>
      <c r="E32" s="244">
        <f>D32/'1.IS'!M3*'1.IS'!N3</f>
        <v>15084.459515233832</v>
      </c>
      <c r="F32" s="244">
        <f>E32/'1.IS'!N3*'1.IS'!O3</f>
        <v>15741.379469032585</v>
      </c>
      <c r="G32" s="244">
        <f>F32/'1.IS'!O3*'1.IS'!P3</f>
        <v>16426.907927183987</v>
      </c>
      <c r="K32" s="224"/>
    </row>
    <row r="33" spans="1:14" x14ac:dyDescent="0.2">
      <c r="A33" s="242" t="s">
        <v>189</v>
      </c>
      <c r="B33" s="216">
        <f>'3.ROIC'!K5</f>
        <v>1687</v>
      </c>
      <c r="C33" s="244">
        <f>B33/B31*C31</f>
        <v>3130.7409688945936</v>
      </c>
      <c r="D33" s="244">
        <f>C33/'1.IS'!L3*'1.IS'!M3</f>
        <v>3267.0830241445733</v>
      </c>
      <c r="E33" s="244">
        <f>D33/'1.IS'!M3*'1.IS'!N3</f>
        <v>3409.3627012593074</v>
      </c>
      <c r="F33" s="244">
        <f>E33/'1.IS'!N3*'1.IS'!O3</f>
        <v>3557.838580420414</v>
      </c>
      <c r="G33" s="244">
        <f>F33/'1.IS'!O3*'1.IS'!P3</f>
        <v>3712.7805028348589</v>
      </c>
    </row>
    <row r="34" spans="1:14" x14ac:dyDescent="0.2">
      <c r="A34" t="s">
        <v>183</v>
      </c>
      <c r="B34" s="216">
        <f>B30+B31</f>
        <v>7969</v>
      </c>
      <c r="C34" s="244">
        <f>IF(C30&lt;=0,B34/ABS(B30)*ABS(C30),C30+C31)</f>
        <v>14788.900285193251</v>
      </c>
      <c r="D34" s="244">
        <f>C34/ABS(C30)*ABS(D30)</f>
        <v>15432.948796329641</v>
      </c>
      <c r="E34" s="244">
        <f>D34/ABS(D30)*ABS(E30)</f>
        <v>16105.045267537298</v>
      </c>
      <c r="F34" s="244">
        <f>E34/ABS(E30)*ABS(F30)</f>
        <v>16806.411172122273</v>
      </c>
      <c r="G34" s="244">
        <f>F34/ABS(F30)*ABS(G30)</f>
        <v>17538.321177884402</v>
      </c>
      <c r="J34" s="216"/>
    </row>
    <row r="35" spans="1:14" x14ac:dyDescent="0.2">
      <c r="A35" s="242" t="s">
        <v>184</v>
      </c>
      <c r="B35" s="216">
        <f>'3.ROIC'!K6</f>
        <v>5</v>
      </c>
      <c r="C35" s="244">
        <f>B35/B34*C34</f>
        <v>9.2790188763917989</v>
      </c>
      <c r="D35" s="244">
        <f t="shared" ref="D35:G35" si="5">C35/C34*D34</f>
        <v>9.6831150685968375</v>
      </c>
      <c r="E35" s="244">
        <f t="shared" si="5"/>
        <v>10.104809428747204</v>
      </c>
      <c r="F35" s="244">
        <f t="shared" si="5"/>
        <v>10.544868347422682</v>
      </c>
      <c r="G35" s="244">
        <f t="shared" si="5"/>
        <v>11.004091591093236</v>
      </c>
    </row>
    <row r="36" spans="1:14" x14ac:dyDescent="0.2">
      <c r="A36" s="242" t="s">
        <v>185</v>
      </c>
      <c r="B36" s="216">
        <f>'3.ROIC'!K7</f>
        <v>7964</v>
      </c>
      <c r="C36" s="244">
        <f>B36/B34*C34</f>
        <v>14779.621266316859</v>
      </c>
      <c r="D36" s="244">
        <f t="shared" ref="D36:G36" si="6">C36/C34*D34</f>
        <v>15423.265681261044</v>
      </c>
      <c r="E36" s="244">
        <f t="shared" si="6"/>
        <v>16094.940458108551</v>
      </c>
      <c r="F36" s="244">
        <f t="shared" si="6"/>
        <v>16795.866303774848</v>
      </c>
      <c r="G36" s="244">
        <f t="shared" si="6"/>
        <v>17527.317086293308</v>
      </c>
    </row>
    <row r="37" spans="1:14" x14ac:dyDescent="0.2">
      <c r="A37" s="242"/>
      <c r="B37" s="216"/>
      <c r="C37" s="244"/>
      <c r="D37" s="244"/>
      <c r="E37" s="244"/>
      <c r="F37" s="244"/>
      <c r="G37" s="244"/>
    </row>
    <row r="38" spans="1:14" x14ac:dyDescent="0.2">
      <c r="B38" s="225"/>
    </row>
    <row r="39" spans="1:14" x14ac:dyDescent="0.2">
      <c r="A39" s="78" t="s">
        <v>210</v>
      </c>
      <c r="B39" s="214">
        <f>'1.IS'!B2</f>
        <v>2016</v>
      </c>
      <c r="C39" s="214">
        <f>'1.IS'!C2</f>
        <v>2017</v>
      </c>
      <c r="D39" s="214">
        <f>'1.IS'!D2</f>
        <v>2018</v>
      </c>
      <c r="E39" s="214">
        <f>'1.IS'!E2</f>
        <v>2019</v>
      </c>
      <c r="F39" s="214">
        <f>'1.IS'!F2</f>
        <v>2020</v>
      </c>
      <c r="G39" s="214">
        <f>'1.IS'!G2</f>
        <v>2021</v>
      </c>
      <c r="H39" s="214">
        <f>'1.IS'!H2</f>
        <v>2022</v>
      </c>
      <c r="I39" s="214">
        <f>'1.IS'!I2</f>
        <v>2023</v>
      </c>
      <c r="J39" s="214">
        <f>'1.IS'!J2</f>
        <v>2024</v>
      </c>
      <c r="K39" s="214">
        <f>'1.IS'!K2</f>
        <v>2025</v>
      </c>
      <c r="L39" s="245" t="s">
        <v>139</v>
      </c>
    </row>
    <row r="40" spans="1:14" x14ac:dyDescent="0.2">
      <c r="A40" t="s">
        <v>161</v>
      </c>
      <c r="B40" s="216">
        <f>ABS(B10)</f>
        <v>484</v>
      </c>
      <c r="C40" s="216">
        <f t="shared" ref="C40:K40" si="7">ABS(C10)</f>
        <v>386</v>
      </c>
      <c r="D40" s="216">
        <f t="shared" si="7"/>
        <v>281</v>
      </c>
      <c r="E40" s="216">
        <f t="shared" si="7"/>
        <v>414</v>
      </c>
      <c r="F40" s="216">
        <f t="shared" si="7"/>
        <v>365</v>
      </c>
      <c r="G40" s="216">
        <f t="shared" si="7"/>
        <v>0</v>
      </c>
      <c r="H40" s="216">
        <f t="shared" si="7"/>
        <v>41</v>
      </c>
      <c r="I40" s="216">
        <f t="shared" si="7"/>
        <v>266</v>
      </c>
      <c r="J40" s="216">
        <f t="shared" si="7"/>
        <v>16</v>
      </c>
      <c r="K40" s="216">
        <f t="shared" si="7"/>
        <v>0</v>
      </c>
      <c r="L40" s="244">
        <f>SUM(B40:K40)</f>
        <v>2253</v>
      </c>
    </row>
    <row r="41" spans="1:14" x14ac:dyDescent="0.2">
      <c r="A41" t="s">
        <v>136</v>
      </c>
      <c r="B41" s="215">
        <f>IFERROR(ABS(VLOOKUP("Common &amp; Preferred Stock Dividends Paid*",'9.TIKR_CF'!$A:$K,COLUMN(B14),FALSE)),"0")</f>
        <v>1022</v>
      </c>
      <c r="C41" s="215">
        <f>IFERROR(ABS(VLOOKUP("Common &amp; Preferred Stock Dividends Paid*",'9.TIKR_CF'!$A:$K,COLUMN(C14),FALSE)),"0")</f>
        <v>1133</v>
      </c>
      <c r="D41" s="215">
        <f>IFERROR(ABS(VLOOKUP("Common &amp; Preferred Stock Dividends Paid*",'9.TIKR_CF'!$A:$K,COLUMN(D14),FALSE)),"0")</f>
        <v>1243</v>
      </c>
      <c r="E41" s="215">
        <f>IFERROR(ABS(VLOOKUP("Common &amp; Preferred Stock Dividends Paid*",'9.TIKR_CF'!$A:$K,COLUMN(E14),FALSE)),"0")</f>
        <v>1332</v>
      </c>
      <c r="F41" s="215">
        <f>IFERROR(ABS(VLOOKUP("Common &amp; Preferred Stock Dividends Paid*",'9.TIKR_CF'!$A:$K,COLUMN(F14),FALSE)),"0")</f>
        <v>1452</v>
      </c>
      <c r="G41" s="215">
        <f>IFERROR(ABS(VLOOKUP("Common &amp; Preferred Stock Dividends Paid*",'9.TIKR_CF'!$A:$K,COLUMN(G14),FALSE)),"0")</f>
        <v>1638</v>
      </c>
      <c r="H41" s="215">
        <f>IFERROR(ABS(VLOOKUP("Common &amp; Preferred Stock Dividends Paid*",'9.TIKR_CF'!$A:$K,COLUMN(H14),FALSE)),"0")</f>
        <v>1837</v>
      </c>
      <c r="I41" s="215">
        <f>IFERROR(ABS(VLOOKUP("Common &amp; Preferred Stock Dividends Paid*",'9.TIKR_CF'!$A:$K,COLUMN(I14),FALSE)),"0")</f>
        <v>2012</v>
      </c>
      <c r="J41" s="215">
        <f>IFERROR(ABS(VLOOKUP("Common &amp; Preferred Stock Dividends Paid*",'9.TIKR_CF'!$A:$K,COLUMN(J14),FALSE)),"0")</f>
        <v>2169</v>
      </c>
      <c r="K41" s="215">
        <f>IFERROR(ABS(VLOOKUP("Common &amp; Preferred Stock Dividends Paid*",'9.TIKR_CF'!$A:$K,COLUMN(K14),FALSE)),"0")</f>
        <v>2300</v>
      </c>
      <c r="L41" s="244">
        <f>SUM(B41:K41)</f>
        <v>16138</v>
      </c>
    </row>
    <row r="42" spans="1:14" x14ac:dyDescent="0.2">
      <c r="A42" t="s">
        <v>135</v>
      </c>
      <c r="B42" s="215">
        <f>IFERROR(ABS(VLOOKUP("Repurchase of Common Stock*",'9.TIKR_CF'!$A:$K,COLUMN(B15),FALSE)),"0")</f>
        <v>3260</v>
      </c>
      <c r="C42" s="215">
        <f>IFERROR(ABS(VLOOKUP("Repurchase of Common Stock*",'9.TIKR_CF'!$A:$K,COLUMN(C15),FALSE)),"0")</f>
        <v>3252</v>
      </c>
      <c r="D42" s="215">
        <f>IFERROR(ABS(VLOOKUP("Repurchase of Common Stock*",'9.TIKR_CF'!$A:$K,COLUMN(D15),FALSE)),"0")</f>
        <v>4254</v>
      </c>
      <c r="E42" s="215">
        <f>IFERROR(ABS(VLOOKUP("Repurchase of Common Stock*",'9.TIKR_CF'!$A:$K,COLUMN(E15),FALSE)),"0")</f>
        <v>4286</v>
      </c>
      <c r="F42" s="215">
        <f>IFERROR(ABS(VLOOKUP("Repurchase of Common Stock*",'9.TIKR_CF'!$A:$K,COLUMN(F15),FALSE)),"0")</f>
        <v>3067</v>
      </c>
      <c r="G42" s="215">
        <f>IFERROR(ABS(VLOOKUP("Repurchase of Common Stock*",'9.TIKR_CF'!$A:$K,COLUMN(G15),FALSE)),"0")</f>
        <v>608</v>
      </c>
      <c r="H42" s="215">
        <f>IFERROR(ABS(VLOOKUP("Repurchase of Common Stock*",'9.TIKR_CF'!$A:$K,COLUMN(H15),FALSE)),"0")</f>
        <v>4014</v>
      </c>
      <c r="I42" s="215">
        <f>IFERROR(ABS(VLOOKUP("Repurchase of Common Stock*",'9.TIKR_CF'!$A:$K,COLUMN(I15),FALSE)),"0")</f>
        <v>5480</v>
      </c>
      <c r="J42" s="215">
        <f>IFERROR(ABS(VLOOKUP("Repurchase of Common Stock*",'9.TIKR_CF'!$A:$K,COLUMN(J15),FALSE)),"0")</f>
        <v>4250</v>
      </c>
      <c r="K42" s="215">
        <f>IFERROR(ABS(VLOOKUP("Repurchase of Common Stock*",'9.TIKR_CF'!$A:$K,COLUMN(K15),FALSE)),"0")</f>
        <v>2985</v>
      </c>
      <c r="L42" s="244">
        <f>SUM(B42:K42)</f>
        <v>35456</v>
      </c>
    </row>
    <row r="43" spans="1:14" x14ac:dyDescent="0.2">
      <c r="A43" t="s">
        <v>162</v>
      </c>
      <c r="B43" s="215">
        <f>ABS(B11)</f>
        <v>0</v>
      </c>
      <c r="C43" s="215">
        <f t="shared" ref="C43:K43" si="8">ABS(C11)</f>
        <v>0</v>
      </c>
      <c r="D43" s="215">
        <f t="shared" si="8"/>
        <v>0</v>
      </c>
      <c r="E43" s="215">
        <f t="shared" si="8"/>
        <v>0</v>
      </c>
      <c r="F43" s="215">
        <f t="shared" si="8"/>
        <v>0</v>
      </c>
      <c r="G43" s="215">
        <f t="shared" si="8"/>
        <v>0</v>
      </c>
      <c r="H43" s="215">
        <f t="shared" si="8"/>
        <v>0</v>
      </c>
      <c r="I43" s="215">
        <f t="shared" si="8"/>
        <v>0</v>
      </c>
      <c r="J43" s="215">
        <f t="shared" si="8"/>
        <v>0</v>
      </c>
      <c r="K43" s="215">
        <f t="shared" si="8"/>
        <v>0</v>
      </c>
      <c r="L43" s="244">
        <f>SUM(B43:K43)</f>
        <v>0</v>
      </c>
    </row>
    <row r="44" spans="1:14" x14ac:dyDescent="0.2">
      <c r="A44" t="s">
        <v>195</v>
      </c>
      <c r="B44" s="215">
        <f>IFERROR(ABS(VLOOKUP("Total Debt Repaid*",'9.TIKR_CF'!$A:$K,COLUMN(B19),FALSE))-VLOOKUP("Total Debt Issued*",'9.TIKR_CF'!$A:$K,COLUMN(B19),FALSE),0)</f>
        <v>-801</v>
      </c>
      <c r="C44" s="215">
        <f>IFERROR(ABS(VLOOKUP("Total Debt Repaid*",'9.TIKR_CF'!$A:$K,COLUMN(C19),FALSE))-VLOOKUP("Total Debt Issued*",'9.TIKR_CF'!$A:$K,COLUMN(C19),FALSE),0)</f>
        <v>-1748</v>
      </c>
      <c r="D44" s="215">
        <f>IFERROR(ABS(VLOOKUP("Total Debt Repaid*",'9.TIKR_CF'!$A:$K,COLUMN(D19),FALSE))-VLOOKUP("Total Debt Issued*",'9.TIKR_CF'!$A:$K,COLUMN(D19),FALSE),0)</f>
        <v>-13</v>
      </c>
      <c r="E44" s="215">
        <f>IFERROR(ABS(VLOOKUP("Total Debt Repaid*",'9.TIKR_CF'!$A:$K,COLUMN(E19),FALSE))-VLOOKUP("Total Debt Issued*",'9.TIKR_CF'!$A:$K,COLUMN(E19),FALSE),0)</f>
        <v>331</v>
      </c>
      <c r="F44" s="215">
        <f>IFERROR(ABS(VLOOKUP("Total Debt Repaid*",'9.TIKR_CF'!$A:$K,COLUMN(F19),FALSE))-VLOOKUP("Total Debt Issued*",'9.TIKR_CF'!$A:$K,COLUMN(F19),FALSE),0)</f>
        <v>-6177</v>
      </c>
      <c r="G44" s="215">
        <f>IFERROR(ABS(VLOOKUP("Total Debt Repaid*",'9.TIKR_CF'!$A:$K,COLUMN(G19),FALSE))-VLOOKUP("Total Debt Issued*",'9.TIKR_CF'!$A:$K,COLUMN(G19),FALSE),0)</f>
        <v>249</v>
      </c>
      <c r="H44" s="215">
        <f>IFERROR(ABS(VLOOKUP("Total Debt Repaid*",'9.TIKR_CF'!$A:$K,COLUMN(H19),FALSE))-VLOOKUP("Total Debt Issued*",'9.TIKR_CF'!$A:$K,COLUMN(H19),FALSE),0)</f>
        <v>-15</v>
      </c>
      <c r="I44" s="215">
        <f>IFERROR(ABS(VLOOKUP("Total Debt Repaid*",'9.TIKR_CF'!$A:$K,COLUMN(I19),FALSE))-VLOOKUP("Total Debt Issued*",'9.TIKR_CF'!$A:$K,COLUMN(I19),FALSE),0)</f>
        <v>504</v>
      </c>
      <c r="J44" s="215">
        <f>IFERROR(ABS(VLOOKUP("Total Debt Repaid*",'9.TIKR_CF'!$A:$K,COLUMN(J19),FALSE))-VLOOKUP("Total Debt Issued*",'9.TIKR_CF'!$A:$K,COLUMN(J19),FALSE),0)</f>
        <v>0</v>
      </c>
      <c r="K44" s="215">
        <f>IFERROR(ABS(VLOOKUP("Total Debt Repaid*",'9.TIKR_CF'!$A:$K,COLUMN(K19),FALSE))-VLOOKUP("Total Debt Issued*",'9.TIKR_CF'!$A:$K,COLUMN(K19),FALSE),0)</f>
        <v>1001</v>
      </c>
      <c r="L44" s="244">
        <f>SUM(B44:K44)</f>
        <v>-6669</v>
      </c>
    </row>
    <row r="45" spans="1:14" x14ac:dyDescent="0.2">
      <c r="A45" t="s">
        <v>221</v>
      </c>
      <c r="B45" s="224">
        <f>IFERROR(SUM('3.ROIC'!B4:B5)/'1.IS'!B3,"")</f>
        <v>0.16876698789226588</v>
      </c>
      <c r="C45" s="224">
        <f>IFERROR(SUM('3.ROIC'!C4:C5)/'1.IS'!C3,"")</f>
        <v>0.17988355167394468</v>
      </c>
      <c r="D45" s="224">
        <f>IFERROR(SUM('3.ROIC'!D4:D5)/'1.IS'!D3,"")</f>
        <v>0.14410528340247822</v>
      </c>
      <c r="E45" s="224">
        <f>IFERROR(SUM('3.ROIC'!E4:E5)/'1.IS'!E3,"")</f>
        <v>0.11920648311475829</v>
      </c>
      <c r="F45" s="224">
        <f>IFERROR(SUM('3.ROIC'!F4:F5)/'1.IS'!F3,"")</f>
        <v>0.23492767959789321</v>
      </c>
      <c r="G45" s="224">
        <f>IFERROR(SUM('3.ROIC'!G4:G5)/'1.IS'!G3,"")</f>
        <v>0.30257308365889801</v>
      </c>
      <c r="H45" s="224">
        <f>IFERROR(SUM('3.ROIC'!H4:H5)/'1.IS'!H3,"")</f>
        <v>0.27824876900021411</v>
      </c>
      <c r="I45" s="224">
        <f>IFERROR(SUM('3.ROIC'!I4:I5)/'1.IS'!I3,"")</f>
        <v>0.2084268895093426</v>
      </c>
      <c r="J45" s="224">
        <f>IFERROR(SUM('3.ROIC'!J4:J5)/'1.IS'!J3,"")</f>
        <v>0.22549744947626649</v>
      </c>
      <c r="K45" s="224">
        <f>IFERROR(SUM('3.ROIC'!K4:K5)/'1.IS'!K3,"")</f>
        <v>0.19760737653587856</v>
      </c>
      <c r="L45" s="244"/>
      <c r="N45" s="278"/>
    </row>
    <row r="47" spans="1:14" x14ac:dyDescent="0.2">
      <c r="A47" s="75" t="s">
        <v>206</v>
      </c>
    </row>
    <row r="48" spans="1:14" x14ac:dyDescent="0.2">
      <c r="A48" s="78"/>
      <c r="B48" s="214">
        <f>'1.IS'!C$2</f>
        <v>2017</v>
      </c>
      <c r="C48" s="214">
        <f>'1.IS'!D$2</f>
        <v>2018</v>
      </c>
      <c r="D48" s="214">
        <f>'1.IS'!E$2</f>
        <v>2019</v>
      </c>
      <c r="E48" s="214">
        <f>'1.IS'!F$2</f>
        <v>2020</v>
      </c>
      <c r="F48" s="214">
        <f>'1.IS'!G$2</f>
        <v>2021</v>
      </c>
      <c r="G48" s="214">
        <f>'1.IS'!H$2</f>
        <v>2022</v>
      </c>
      <c r="H48" s="214">
        <f>'1.IS'!I$2</f>
        <v>2023</v>
      </c>
      <c r="I48" s="214">
        <f>'1.IS'!J$2</f>
        <v>2024</v>
      </c>
      <c r="J48" s="214">
        <f>'1.IS'!K$2</f>
        <v>2025</v>
      </c>
      <c r="K48" s="214"/>
      <c r="L48" s="223"/>
    </row>
    <row r="49" spans="1:12" x14ac:dyDescent="0.2">
      <c r="A49" s="171" t="s">
        <v>91</v>
      </c>
      <c r="B49" s="226">
        <f>'1.IS'!C4</f>
        <v>6.0971089696071165E-2</v>
      </c>
      <c r="C49" s="226">
        <f>'1.IS'!D4</f>
        <v>5.9592430858806403E-2</v>
      </c>
      <c r="D49" s="226">
        <f>'1.IS'!E4</f>
        <v>7.4731433909388134E-2</v>
      </c>
      <c r="E49" s="226">
        <f>'1.IS'!F4</f>
        <v>-4.3817266150267146E-2</v>
      </c>
      <c r="F49" s="226">
        <f>'1.IS'!G4</f>
        <v>0.1907600994572628</v>
      </c>
      <c r="G49" s="226">
        <f>'1.IS'!H4</f>
        <v>4.8767344739323724E-2</v>
      </c>
      <c r="H49" s="226">
        <f>'1.IS'!I4</f>
        <v>9.6488974523656609E-2</v>
      </c>
      <c r="I49" s="226">
        <f>'1.IS'!J4</f>
        <v>2.8310912392369722E-3</v>
      </c>
      <c r="J49" s="226">
        <f>'1.IS'!K4</f>
        <v>-9.8380125384525521E-2</v>
      </c>
      <c r="L49" s="226"/>
    </row>
    <row r="50" spans="1:12" x14ac:dyDescent="0.2">
      <c r="A50" s="171" t="s">
        <v>18</v>
      </c>
      <c r="B50" s="226">
        <f>'1.IS'!C24</f>
        <v>0.15046922142549254</v>
      </c>
      <c r="C50" s="226">
        <f>'1.IS'!D24</f>
        <v>-0.49588520607594078</v>
      </c>
      <c r="D50" s="226">
        <f>'1.IS'!E24</f>
        <v>1.0261935527823227</v>
      </c>
      <c r="E50" s="226">
        <f>'1.IS'!F24</f>
        <v>-0.31078379156987745</v>
      </c>
      <c r="F50" s="226">
        <f>'1.IS'!G24</f>
        <v>1.2286231385383088</v>
      </c>
      <c r="G50" s="226">
        <f>'1.IS'!H24</f>
        <v>-2.9013664804820798E-2</v>
      </c>
      <c r="H50" s="226">
        <f>'1.IS'!I24</f>
        <v>-0.16195991322573339</v>
      </c>
      <c r="I50" s="226">
        <f>'1.IS'!J24</f>
        <v>0.26723539198743101</v>
      </c>
      <c r="J50" s="226">
        <f>'1.IS'!K24</f>
        <v>-0.45360120984358265</v>
      </c>
      <c r="L50" s="226"/>
    </row>
    <row r="51" spans="1:12" x14ac:dyDescent="0.2">
      <c r="A51" s="171" t="s">
        <v>92</v>
      </c>
      <c r="B51" s="226">
        <f>'2.FCF'!C16</f>
        <v>-0.10322047894302229</v>
      </c>
      <c r="C51" s="226">
        <f>'2.FCF'!D16</f>
        <v>-0.31553100061387357</v>
      </c>
      <c r="D51" s="226">
        <f>'2.FCF'!E16</f>
        <v>0.41883408071748879</v>
      </c>
      <c r="E51" s="226">
        <f>'2.FCF'!F16</f>
        <v>-0.21302149178255372</v>
      </c>
      <c r="F51" s="226">
        <f>'2.FCF'!G16</f>
        <v>1.2184738955823293</v>
      </c>
      <c r="G51" s="226">
        <f>'2.FCF'!H16</f>
        <v>-0.14192614047791455</v>
      </c>
      <c r="H51" s="226">
        <f>'2.FCF'!I16</f>
        <v>1.1814345991561181E-2</v>
      </c>
      <c r="I51" s="226">
        <f>'2.FCF'!J16</f>
        <v>0.36426188490408673</v>
      </c>
      <c r="J51" s="226">
        <f>'2.FCF'!K16</f>
        <v>-0.41066788934739418</v>
      </c>
      <c r="L51" s="226"/>
    </row>
    <row r="52" spans="1:12" x14ac:dyDescent="0.2">
      <c r="A52" s="2"/>
      <c r="B52" s="227"/>
      <c r="C52" s="227"/>
      <c r="D52" s="227"/>
      <c r="E52" s="227"/>
      <c r="F52" s="227"/>
      <c r="G52" s="227"/>
      <c r="H52" s="227"/>
      <c r="I52" s="227"/>
    </row>
    <row r="53" spans="1:12" x14ac:dyDescent="0.2">
      <c r="A53" s="211" t="s">
        <v>207</v>
      </c>
      <c r="B53" s="227"/>
      <c r="C53" s="227"/>
      <c r="D53" s="227"/>
      <c r="E53" s="227"/>
      <c r="F53" s="227"/>
      <c r="G53" s="227"/>
      <c r="H53" s="227"/>
      <c r="I53" s="227"/>
    </row>
    <row r="54" spans="1:12" x14ac:dyDescent="0.2">
      <c r="A54" s="78"/>
      <c r="B54" s="223">
        <f>'1.IS'!B$2</f>
        <v>2016</v>
      </c>
      <c r="C54" s="223">
        <f>'1.IS'!C$2</f>
        <v>2017</v>
      </c>
      <c r="D54" s="223">
        <f>'1.IS'!D$2</f>
        <v>2018</v>
      </c>
      <c r="E54" s="223">
        <f>'1.IS'!E$2</f>
        <v>2019</v>
      </c>
      <c r="F54" s="223">
        <f>'1.IS'!F$2</f>
        <v>2020</v>
      </c>
      <c r="G54" s="223">
        <f>'1.IS'!G$2</f>
        <v>2021</v>
      </c>
      <c r="H54" s="223">
        <f>'1.IS'!H$2</f>
        <v>2022</v>
      </c>
      <c r="I54" s="223">
        <f>'1.IS'!I$2</f>
        <v>2023</v>
      </c>
      <c r="J54" s="223">
        <f>'1.IS'!J$2</f>
        <v>2024</v>
      </c>
      <c r="K54" s="223">
        <f>'1.IS'!K$2</f>
        <v>2025</v>
      </c>
      <c r="L54" s="223"/>
    </row>
    <row r="55" spans="1:12" x14ac:dyDescent="0.2">
      <c r="A55" s="171" t="s">
        <v>2</v>
      </c>
      <c r="B55" s="228">
        <f>'1.IS'!B6</f>
        <v>0.15950086483815171</v>
      </c>
      <c r="C55" s="228">
        <f>'1.IS'!C6</f>
        <v>0.15909752547307132</v>
      </c>
      <c r="D55" s="228">
        <f>'1.IS'!D6</f>
        <v>0.14339093881363849</v>
      </c>
      <c r="E55" s="228">
        <f>'1.IS'!E6</f>
        <v>0.14039931487588517</v>
      </c>
      <c r="F55" s="228">
        <f>'1.IS'!F6</f>
        <v>0.11319947597786274</v>
      </c>
      <c r="G55" s="228">
        <f>'1.IS'!G6</f>
        <v>0.18025057254479321</v>
      </c>
      <c r="H55" s="228">
        <f>'1.IS'!H6</f>
        <v>0.16088631984585741</v>
      </c>
      <c r="I55" s="228">
        <f>'1.IS'!I6</f>
        <v>0.12921490911220884</v>
      </c>
      <c r="J55" s="228">
        <f>'1.IS'!J6</f>
        <v>0.1469958334955804</v>
      </c>
      <c r="K55" s="228">
        <f>'1.IS'!K6</f>
        <v>9.667667192122481E-2</v>
      </c>
      <c r="L55" s="228"/>
    </row>
    <row r="56" spans="1:12" x14ac:dyDescent="0.2">
      <c r="A56" s="171" t="s">
        <v>4</v>
      </c>
      <c r="B56" s="228">
        <f>'1.IS'!B10</f>
        <v>0.13905361996540647</v>
      </c>
      <c r="C56" s="228">
        <f>'1.IS'!C10</f>
        <v>0.13825327510917029</v>
      </c>
      <c r="D56" s="228">
        <f>'1.IS'!D10</f>
        <v>0.12212544989971701</v>
      </c>
      <c r="E56" s="228">
        <f>'1.IS'!E10</f>
        <v>0.12199299537285579</v>
      </c>
      <c r="F56" s="228">
        <f>'1.IS'!F10</f>
        <v>8.3282089671951443E-2</v>
      </c>
      <c r="G56" s="228">
        <f>'1.IS'!G10</f>
        <v>0.16235574116484799</v>
      </c>
      <c r="H56" s="228">
        <f>'1.IS'!H10</f>
        <v>0.14290301862556198</v>
      </c>
      <c r="I56" s="228">
        <f>'1.IS'!I10</f>
        <v>0.11548899779370131</v>
      </c>
      <c r="J56" s="228">
        <f>'1.IS'!J10</f>
        <v>0.13149799462637748</v>
      </c>
      <c r="K56" s="228">
        <f>'1.IS'!K10</f>
        <v>7.9941264117126265E-2</v>
      </c>
      <c r="L56" s="228"/>
    </row>
    <row r="57" spans="1:12" x14ac:dyDescent="0.2">
      <c r="A57" s="171" t="s">
        <v>6</v>
      </c>
      <c r="B57" s="228">
        <f>'2.FCF'!B15</f>
        <v>0.11221275018532247</v>
      </c>
      <c r="C57" s="228">
        <f>'2.FCF'!C15</f>
        <v>9.4847161572052405E-2</v>
      </c>
      <c r="D57" s="228">
        <f>'2.FCF'!D15</f>
        <v>6.1268785888946894E-2</v>
      </c>
      <c r="E57" s="228">
        <f>'2.FCF'!E15</f>
        <v>8.0885548482756864E-2</v>
      </c>
      <c r="F57" s="228">
        <f>'2.FCF'!F15</f>
        <v>6.6572200090901798E-2</v>
      </c>
      <c r="G57" s="228">
        <f>'2.FCF'!G15</f>
        <v>0.12402891912524136</v>
      </c>
      <c r="H57" s="228">
        <f>'2.FCF'!H15</f>
        <v>0.1014771997430957</v>
      </c>
      <c r="I57" s="228">
        <f>'2.FCF'!I15</f>
        <v>9.3640783333658745E-2</v>
      </c>
      <c r="J57" s="228">
        <f>'2.FCF'!J15</f>
        <v>0.12738989914722948</v>
      </c>
      <c r="K57" s="228">
        <f>'2.FCF'!K15</f>
        <v>8.3266751603360042E-2</v>
      </c>
      <c r="L57" s="228"/>
    </row>
    <row r="58" spans="1:12" x14ac:dyDescent="0.2">
      <c r="A58" s="2"/>
      <c r="B58" s="227"/>
      <c r="C58" s="226"/>
      <c r="D58" s="226"/>
      <c r="E58" s="226"/>
      <c r="F58" s="226"/>
      <c r="G58" s="226"/>
      <c r="H58" s="226"/>
      <c r="L58" s="227"/>
    </row>
    <row r="59" spans="1:12" x14ac:dyDescent="0.2">
      <c r="A59" s="211" t="s">
        <v>208</v>
      </c>
      <c r="B59" s="227"/>
      <c r="C59" s="226"/>
      <c r="D59" s="226"/>
      <c r="E59" s="226"/>
      <c r="F59" s="226"/>
      <c r="G59" s="226"/>
      <c r="H59" s="226"/>
      <c r="L59" s="227"/>
    </row>
    <row r="60" spans="1:12" x14ac:dyDescent="0.2">
      <c r="A60" s="78"/>
      <c r="B60" s="223">
        <f>'1.IS'!B$2</f>
        <v>2016</v>
      </c>
      <c r="C60" s="223">
        <f>'1.IS'!C$2</f>
        <v>2017</v>
      </c>
      <c r="D60" s="223">
        <f>'1.IS'!D$2</f>
        <v>2018</v>
      </c>
      <c r="E60" s="223">
        <f>'1.IS'!E$2</f>
        <v>2019</v>
      </c>
      <c r="F60" s="223">
        <f>'1.IS'!F$2</f>
        <v>2020</v>
      </c>
      <c r="G60" s="223">
        <f>'1.IS'!G$2</f>
        <v>2021</v>
      </c>
      <c r="H60" s="223">
        <f>'1.IS'!H$2</f>
        <v>2022</v>
      </c>
      <c r="I60" s="223">
        <f>'1.IS'!I$2</f>
        <v>2023</v>
      </c>
      <c r="J60" s="223">
        <f>'1.IS'!J$2</f>
        <v>2024</v>
      </c>
      <c r="K60" s="223">
        <f>'1.IS'!K$2</f>
        <v>2025</v>
      </c>
      <c r="L60" s="223"/>
    </row>
    <row r="61" spans="1:12" x14ac:dyDescent="0.2">
      <c r="A61" s="171" t="s">
        <v>6</v>
      </c>
      <c r="B61" s="229">
        <f>'2.FCF'!B14</f>
        <v>3633</v>
      </c>
      <c r="C61" s="229">
        <f>'2.FCF'!C14</f>
        <v>3258</v>
      </c>
      <c r="D61" s="229">
        <f>'2.FCF'!D14</f>
        <v>2230</v>
      </c>
      <c r="E61" s="229">
        <f>'2.FCF'!E14</f>
        <v>3164</v>
      </c>
      <c r="F61" s="229">
        <f>'2.FCF'!F14</f>
        <v>2490</v>
      </c>
      <c r="G61" s="229">
        <f>'2.FCF'!G14</f>
        <v>5524</v>
      </c>
      <c r="H61" s="229">
        <f>'2.FCF'!H14</f>
        <v>4740</v>
      </c>
      <c r="I61" s="229">
        <f>'2.FCF'!I14</f>
        <v>4796</v>
      </c>
      <c r="J61" s="229">
        <f>'2.FCF'!J14</f>
        <v>6543</v>
      </c>
      <c r="K61" s="229">
        <f>'2.FCF'!K14</f>
        <v>3856</v>
      </c>
      <c r="L61" s="227"/>
    </row>
    <row r="62" spans="1:12" x14ac:dyDescent="0.2">
      <c r="A62" s="171" t="s">
        <v>105</v>
      </c>
      <c r="B62" s="226">
        <f>'3.ROIC'!B15</f>
        <v>0.30256699164708695</v>
      </c>
      <c r="C62" s="226">
        <f>'3.ROIC'!C15</f>
        <v>0.29591511400115439</v>
      </c>
      <c r="D62" s="226">
        <f>'3.ROIC'!D15</f>
        <v>0.15932473554687226</v>
      </c>
      <c r="E62" s="226">
        <f>'3.ROIC'!E15</f>
        <v>0.3144290078676244</v>
      </c>
      <c r="F62" s="226">
        <f>'3.ROIC'!F15</f>
        <v>0.1336224470884762</v>
      </c>
      <c r="G62" s="226">
        <f>'3.ROIC'!G15</f>
        <v>0.28472178467513143</v>
      </c>
      <c r="H62" s="226">
        <f>'3.ROIC'!H15</f>
        <v>0.25764661517315635</v>
      </c>
      <c r="I62" s="226">
        <f>'3.ROIC'!I15</f>
        <v>0.20883067514128778</v>
      </c>
      <c r="J62" s="226">
        <f>'3.ROIC'!J15</f>
        <v>0.23398334286693145</v>
      </c>
      <c r="K62" s="226">
        <f>'3.ROIC'!K15</f>
        <v>0.13548183117339455</v>
      </c>
      <c r="L62" s="226"/>
    </row>
    <row r="63" spans="1:12" x14ac:dyDescent="0.2">
      <c r="A63" s="2"/>
      <c r="B63" s="227"/>
      <c r="C63" s="227"/>
      <c r="D63" s="227"/>
      <c r="E63" s="227"/>
      <c r="F63" s="227"/>
      <c r="G63" s="227"/>
      <c r="H63" s="227"/>
      <c r="L63" s="227"/>
    </row>
    <row r="64" spans="1:12" x14ac:dyDescent="0.2">
      <c r="A64" s="78" t="s">
        <v>209</v>
      </c>
      <c r="B64" s="223">
        <f>'1.IS'!B$2</f>
        <v>2016</v>
      </c>
      <c r="C64" s="223">
        <f>'1.IS'!C$2</f>
        <v>2017</v>
      </c>
      <c r="D64" s="223">
        <f>'1.IS'!D$2</f>
        <v>2018</v>
      </c>
      <c r="E64" s="223">
        <f>'1.IS'!E$2</f>
        <v>2019</v>
      </c>
      <c r="F64" s="223">
        <f>'1.IS'!F$2</f>
        <v>2020</v>
      </c>
      <c r="G64" s="223">
        <f>'1.IS'!G$2</f>
        <v>2021</v>
      </c>
      <c r="H64" s="223">
        <f>'1.IS'!H$2</f>
        <v>2022</v>
      </c>
      <c r="I64" s="223">
        <f>'1.IS'!I$2</f>
        <v>2023</v>
      </c>
      <c r="J64" s="223">
        <f>'1.IS'!J$2</f>
        <v>2024</v>
      </c>
      <c r="K64" s="223">
        <f>'1.IS'!K$2</f>
        <v>2025</v>
      </c>
      <c r="L64" s="223"/>
    </row>
    <row r="65" spans="1:12" x14ac:dyDescent="0.2">
      <c r="A65" s="171" t="s">
        <v>97</v>
      </c>
      <c r="B65" s="230">
        <f>IFERROR(('1.IS'!B3-'1.IS'!B5)/'1.IS'!B3,"")</f>
        <v>0.84049913516184827</v>
      </c>
      <c r="C65" s="230">
        <f>IFERROR(('1.IS'!C3-'1.IS'!C5)/'1.IS'!C3,"")</f>
        <v>0.84090247452692868</v>
      </c>
      <c r="D65" s="230">
        <f>IFERROR(('1.IS'!D3-'1.IS'!D5)/'1.IS'!D3,"")</f>
        <v>0.85660906118636149</v>
      </c>
      <c r="E65" s="230">
        <f>IFERROR(('1.IS'!E3-'1.IS'!E5)/'1.IS'!E3,"")</f>
        <v>0.85960068512411481</v>
      </c>
      <c r="F65" s="230">
        <f>IFERROR(('1.IS'!F3-'1.IS'!F5)/'1.IS'!F3,"")</f>
        <v>0.88680052402213727</v>
      </c>
      <c r="G65" s="230">
        <f>IFERROR(('1.IS'!G3-'1.IS'!G5)/'1.IS'!G3,"")</f>
        <v>0.81974942745520674</v>
      </c>
      <c r="H65" s="230">
        <f>IFERROR(('1.IS'!H3-'1.IS'!H5)/'1.IS'!H3,"")</f>
        <v>0.83911368015414256</v>
      </c>
      <c r="I65" s="230">
        <f>IFERROR(('1.IS'!I3-'1.IS'!I5)/'1.IS'!I3,"")</f>
        <v>0.87078509088779121</v>
      </c>
      <c r="J65" s="230">
        <f>IFERROR(('1.IS'!J3-'1.IS'!J5)/'1.IS'!J3,"")</f>
        <v>0.85300416650441957</v>
      </c>
      <c r="K65" s="230">
        <f>IFERROR(('1.IS'!K3-'1.IS'!K5)/'1.IS'!K3,"")</f>
        <v>0.90332332807877513</v>
      </c>
      <c r="L65" s="226"/>
    </row>
    <row r="66" spans="1:12" x14ac:dyDescent="0.2">
      <c r="A66" s="171" t="s">
        <v>103</v>
      </c>
      <c r="B66" s="230">
        <f>'2.FCF'!B22</f>
        <v>2.0045712873733631E-2</v>
      </c>
      <c r="C66" s="230">
        <f>'2.FCF'!C22</f>
        <v>2.0553129548762736E-2</v>
      </c>
      <c r="D66" s="230">
        <f>'2.FCF'!D22</f>
        <v>2.0523669533203285E-2</v>
      </c>
      <c r="E66" s="230">
        <f>'2.FCF'!E22</f>
        <v>1.8022854513382928E-2</v>
      </c>
      <c r="F66" s="230">
        <f>'2.FCF'!F22</f>
        <v>1.9276528620698875E-2</v>
      </c>
      <c r="G66" s="230">
        <f>'2.FCF'!G22</f>
        <v>1.5604652207104046E-2</v>
      </c>
      <c r="H66" s="230">
        <f>'2.FCF'!H22</f>
        <v>1.5350032113037893E-2</v>
      </c>
      <c r="I66" s="230">
        <f>'2.FCF'!I22</f>
        <v>1.3725911318507526E-2</v>
      </c>
      <c r="J66" s="230">
        <f>'2.FCF'!J22</f>
        <v>1.5497838869202913E-2</v>
      </c>
      <c r="K66" s="230">
        <f>'2.FCF'!K22</f>
        <v>9.2854520719514565E-3</v>
      </c>
      <c r="L66" s="226"/>
    </row>
    <row r="67" spans="1:12" x14ac:dyDescent="0.2">
      <c r="A67" s="171" t="s">
        <v>94</v>
      </c>
      <c r="B67" s="230">
        <f>IFERROR(('1.IS'!B14/'1.IS'!B3),"")</f>
        <v>-5.8685446009389673E-4</v>
      </c>
      <c r="C67" s="230">
        <f>IFERROR(('1.IS'!C14/'1.IS'!C3),"")</f>
        <v>-1.7176128093158661E-3</v>
      </c>
      <c r="D67" s="230">
        <f>IFERROR(('1.IS'!D14/'1.IS'!D3),"")</f>
        <v>-1.4836387614363821E-3</v>
      </c>
      <c r="E67" s="230">
        <f>IFERROR(('1.IS'!E14/'1.IS'!E3),"")</f>
        <v>-1.2526522995117213E-3</v>
      </c>
      <c r="F67" s="230">
        <f>IFERROR(('1.IS'!F14/'1.IS'!F3),"")</f>
        <v>-2.37948827634147E-3</v>
      </c>
      <c r="G67" s="230">
        <f>IFERROR(('1.IS'!G14/'1.IS'!G3),"")</f>
        <v>-5.882617091023396E-3</v>
      </c>
      <c r="H67" s="230">
        <f>IFERROR(('1.IS'!H14/'1.IS'!H3),"")</f>
        <v>-4.3887818454292444E-3</v>
      </c>
      <c r="I67" s="230">
        <f>IFERROR(('1.IS'!I14/'1.IS'!I3),"")</f>
        <v>1.1714860300290919E-4</v>
      </c>
      <c r="J67" s="230">
        <f>IFERROR(('1.IS'!J14/'1.IS'!J3),"")</f>
        <v>3.1346131381176745E-3</v>
      </c>
      <c r="K67" s="230">
        <f>IFERROR(('1.IS'!K14/'1.IS'!K3),"")</f>
        <v>2.3105659806948974E-3</v>
      </c>
      <c r="L67" s="226"/>
    </row>
    <row r="68" spans="1:12" x14ac:dyDescent="0.2">
      <c r="A68" s="171" t="s">
        <v>95</v>
      </c>
      <c r="B68" s="230">
        <f>IFERROR(('1.IS'!B16+'1.IS'!B19)/'1.IS'!B3,"")</f>
        <v>-2.6655547319001729E-2</v>
      </c>
      <c r="C68" s="230">
        <f>IFERROR(('1.IS'!C16+'1.IS'!C19)/'1.IS'!C3,"")</f>
        <v>-1.8806404657933044E-2</v>
      </c>
      <c r="D68" s="230">
        <f>IFERROR(('1.IS'!D16+'1.IS'!D19)/'1.IS'!D3,"")</f>
        <v>-6.5719702173256039E-2</v>
      </c>
      <c r="E68" s="230">
        <f>IFERROR(('1.IS'!E16+'1.IS'!E19)/'1.IS'!E3,"")</f>
        <v>-1.9735664800470384E-2</v>
      </c>
      <c r="F68" s="230">
        <f>IFERROR(('1.IS'!F16+'1.IS'!F19)/'1.IS'!F3,"")</f>
        <v>-9.3040665187284436E-3</v>
      </c>
      <c r="G68" s="230">
        <f>IFERROR(('1.IS'!G16+'1.IS'!G19)/'1.IS'!G3,"")</f>
        <v>-2.0970856347388746E-2</v>
      </c>
      <c r="H68" s="230">
        <f>IFERROR(('1.IS'!H16+'1.IS'!H19)/'1.IS'!H3,"")</f>
        <v>-1.2952258616998502E-2</v>
      </c>
      <c r="I68" s="230">
        <f>IFERROR(('1.IS'!I16+'1.IS'!I19)/'1.IS'!I3,"")</f>
        <v>-2.2082511666048382E-2</v>
      </c>
      <c r="J68" s="230">
        <f>IFERROR(('1.IS'!J16+'1.IS'!J19)/'1.IS'!J3,"")</f>
        <v>-1.9469646820606673E-2</v>
      </c>
      <c r="K68" s="230">
        <f>IFERROR(('1.IS'!K16+'1.IS'!K19)/'1.IS'!K3,"")</f>
        <v>-1.4381653674231791E-2</v>
      </c>
      <c r="L68" s="226"/>
    </row>
    <row r="69" spans="1:12" x14ac:dyDescent="0.2">
      <c r="A69" s="171" t="s">
        <v>96</v>
      </c>
      <c r="B69" s="230"/>
      <c r="C69" s="230">
        <f>IFERROR('2.FCF'!C12/'1.IS'!C3,"")</f>
        <v>2.3173216885007279E-2</v>
      </c>
      <c r="D69" s="230">
        <f>IFERROR('2.FCF'!D12/'1.IS'!D3,"")</f>
        <v>-5.6048575432041106E-3</v>
      </c>
      <c r="E69" s="230">
        <f>IFERROR('2.FCF'!E12/'1.IS'!E3,"")</f>
        <v>2.0502594779763274E-2</v>
      </c>
      <c r="F69" s="230">
        <f>IFERROR('2.FCF'!F12/'1.IS'!F3,"")</f>
        <v>1.5667192471192151E-2</v>
      </c>
      <c r="G69" s="230">
        <f>IFERROR('2.FCF'!G12/'1.IS'!G3,"")</f>
        <v>1.3763527774035654E-2</v>
      </c>
      <c r="H69" s="230">
        <f>IFERROR('2.FCF'!H12/'1.IS'!H3,"")</f>
        <v>2.6718047527296084E-2</v>
      </c>
      <c r="I69" s="230">
        <f>IFERROR('2.FCF'!I12/'1.IS'!I3,"")</f>
        <v>-1.1714860300290919E-4</v>
      </c>
      <c r="J69" s="230">
        <f>IFERROR('2.FCF'!J12/'1.IS'!J3,"")</f>
        <v>-1.2226938203340991E-2</v>
      </c>
      <c r="K69" s="230">
        <f>IFERROR('2.FCF'!K12/'1.IS'!K3,"")</f>
        <v>-7.9466194476235721E-3</v>
      </c>
      <c r="L69" s="226"/>
    </row>
    <row r="71" spans="1:12" x14ac:dyDescent="0.2">
      <c r="A71" s="78" t="s">
        <v>166</v>
      </c>
      <c r="B71" s="223">
        <f>'1.IS'!B2</f>
        <v>2016</v>
      </c>
      <c r="C71" s="223">
        <f>'1.IS'!C2</f>
        <v>2017</v>
      </c>
      <c r="D71" s="223">
        <f>'1.IS'!D2</f>
        <v>2018</v>
      </c>
      <c r="E71" s="223">
        <f>'1.IS'!E2</f>
        <v>2019</v>
      </c>
      <c r="F71" s="223">
        <f>'1.IS'!F2</f>
        <v>2020</v>
      </c>
      <c r="G71" s="223">
        <f>'1.IS'!G2</f>
        <v>2021</v>
      </c>
      <c r="H71" s="223">
        <f>'1.IS'!H2</f>
        <v>2022</v>
      </c>
      <c r="I71" s="223">
        <f>'1.IS'!I2</f>
        <v>2023</v>
      </c>
      <c r="J71" s="223">
        <f>'1.IS'!J2</f>
        <v>2024</v>
      </c>
      <c r="K71" s="223">
        <f>'1.IS'!K2</f>
        <v>2025</v>
      </c>
      <c r="L71" s="245" t="s">
        <v>138</v>
      </c>
    </row>
    <row r="72" spans="1:12" x14ac:dyDescent="0.2">
      <c r="A72" s="171" t="s">
        <v>167</v>
      </c>
      <c r="C72" s="215">
        <f>IF('1.IS'!C4&lt;0,1,0)</f>
        <v>0</v>
      </c>
      <c r="D72" s="215">
        <f>IF('1.IS'!D4&lt;0,1,0)</f>
        <v>0</v>
      </c>
      <c r="E72" s="215">
        <f>IF('1.IS'!E4&lt;0,1,0)</f>
        <v>0</v>
      </c>
      <c r="F72" s="215">
        <f>IF('1.IS'!F4&lt;0,1,0)</f>
        <v>1</v>
      </c>
      <c r="G72" s="215">
        <f>IF('1.IS'!G4&lt;0,1,0)</f>
        <v>0</v>
      </c>
      <c r="H72" s="215">
        <f>IF('1.IS'!H4&lt;0,1,0)</f>
        <v>0</v>
      </c>
      <c r="I72" s="215">
        <f>IF('1.IS'!I4&lt;0,1,0)</f>
        <v>0</v>
      </c>
      <c r="J72" s="215">
        <f>IF('1.IS'!J4&lt;0,1,0)</f>
        <v>0</v>
      </c>
      <c r="K72" s="215">
        <f>IF('1.IS'!K4&lt;0,1,0)</f>
        <v>1</v>
      </c>
      <c r="L72" s="246">
        <f>SUM(B72:K72)</f>
        <v>2</v>
      </c>
    </row>
    <row r="73" spans="1:12" x14ac:dyDescent="0.2">
      <c r="A73" s="171" t="s">
        <v>168</v>
      </c>
      <c r="C73" s="215">
        <f>IF('1.IS'!C10&lt;'1.IS'!B10,1,0)</f>
        <v>1</v>
      </c>
      <c r="D73" s="215">
        <f>IF('1.IS'!D10&lt;'1.IS'!C10,1,0)</f>
        <v>1</v>
      </c>
      <c r="E73" s="215">
        <f>IF('1.IS'!E10&lt;'1.IS'!D10,1,0)</f>
        <v>1</v>
      </c>
      <c r="F73" s="215">
        <f>IF('1.IS'!F10&lt;'1.IS'!E10,1,0)</f>
        <v>1</v>
      </c>
      <c r="G73" s="215">
        <f>IF('1.IS'!G10&lt;'1.IS'!F10,1,0)</f>
        <v>0</v>
      </c>
      <c r="H73" s="215">
        <f>IF('1.IS'!H10&lt;'1.IS'!G10,1,0)</f>
        <v>1</v>
      </c>
      <c r="I73" s="215">
        <f>IF('1.IS'!I10&lt;'1.IS'!H10,1,0)</f>
        <v>1</v>
      </c>
      <c r="J73" s="215">
        <f>IF('1.IS'!J10&lt;'1.IS'!I10,1,0)</f>
        <v>0</v>
      </c>
      <c r="K73" s="215">
        <f>IF('1.IS'!K10&lt;'1.IS'!J10,1,0)</f>
        <v>1</v>
      </c>
      <c r="L73" s="246">
        <f>SUM(B73:K73)</f>
        <v>7</v>
      </c>
    </row>
    <row r="74" spans="1:12" x14ac:dyDescent="0.2">
      <c r="A74" s="171" t="s">
        <v>174</v>
      </c>
      <c r="B74" s="215">
        <f>IF('2.FCF'!B14&lt;0,1,0)</f>
        <v>0</v>
      </c>
      <c r="C74" s="215">
        <f>IF('2.FCF'!C14&lt;0,1,0)</f>
        <v>0</v>
      </c>
      <c r="D74" s="215">
        <f>IF('2.FCF'!D14&lt;0,1,0)</f>
        <v>0</v>
      </c>
      <c r="E74" s="215">
        <f>IF('2.FCF'!E14&lt;0,1,0)</f>
        <v>0</v>
      </c>
      <c r="F74" s="215">
        <f>IF('2.FCF'!F14&lt;0,1,0)</f>
        <v>0</v>
      </c>
      <c r="G74" s="215">
        <f>IF('2.FCF'!G14&lt;0,1,0)</f>
        <v>0</v>
      </c>
      <c r="H74" s="215">
        <f>IF('2.FCF'!H14&lt;0,1,0)</f>
        <v>0</v>
      </c>
      <c r="I74" s="215">
        <f>IF('2.FCF'!I14&lt;0,1,0)</f>
        <v>0</v>
      </c>
      <c r="J74" s="215">
        <f>IF('2.FCF'!J14&lt;0,1,0)</f>
        <v>0</v>
      </c>
      <c r="K74" s="215">
        <f>IF('2.FCF'!K14&lt;0,1,0)</f>
        <v>0</v>
      </c>
      <c r="L74" s="246">
        <f>SUM(B74:K74)</f>
        <v>0</v>
      </c>
    </row>
    <row r="75" spans="1:12" x14ac:dyDescent="0.2">
      <c r="A75" s="171" t="s">
        <v>176</v>
      </c>
      <c r="B75" s="215">
        <f>IF('3.ROIC'!B15&lt;10%,1,0)</f>
        <v>0</v>
      </c>
      <c r="C75" s="215">
        <f>IF('3.ROIC'!C15&lt;10%,1,0)</f>
        <v>0</v>
      </c>
      <c r="D75" s="215">
        <f>IF('3.ROIC'!D15&lt;10%,1,0)</f>
        <v>0</v>
      </c>
      <c r="E75" s="215">
        <f>IF('3.ROIC'!E15&lt;10%,1,0)</f>
        <v>0</v>
      </c>
      <c r="F75" s="215">
        <f>IF('3.ROIC'!F15&lt;10%,1,0)</f>
        <v>0</v>
      </c>
      <c r="G75" s="215">
        <f>IF('3.ROIC'!G15&lt;10%,1,0)</f>
        <v>0</v>
      </c>
      <c r="H75" s="215">
        <f>IF('3.ROIC'!H15&lt;10%,1,0)</f>
        <v>0</v>
      </c>
      <c r="I75" s="215">
        <f>IF('3.ROIC'!I15&lt;10%,1,0)</f>
        <v>0</v>
      </c>
      <c r="J75" s="215">
        <f>IF('3.ROIC'!J15&lt;10%,1,0)</f>
        <v>0</v>
      </c>
      <c r="K75" s="215">
        <f>IF('3.ROIC'!K15&lt;10%,1,0)</f>
        <v>0</v>
      </c>
      <c r="L75" s="246">
        <f>SUM(B75:K75)</f>
        <v>0</v>
      </c>
    </row>
    <row r="76" spans="1:12" x14ac:dyDescent="0.2">
      <c r="A76" s="171" t="s">
        <v>178</v>
      </c>
      <c r="B76" s="215">
        <f>IF('4.Valoración'!B5&lt;&gt;"",IF('4.Valoración'!B5&gt;2.5,1,0),0)</f>
        <v>0</v>
      </c>
      <c r="C76" s="215">
        <f>IF('4.Valoración'!C5&lt;&gt;"",IF('4.Valoración'!C5&gt;2.5,1,0),0)</f>
        <v>0</v>
      </c>
      <c r="D76" s="215">
        <f>IF('4.Valoración'!D5&lt;&gt;"",IF('4.Valoración'!D5&gt;2.5,1,0),0)</f>
        <v>0</v>
      </c>
      <c r="E76" s="215">
        <f>IF('4.Valoración'!E5&lt;&gt;"",IF('4.Valoración'!E5&gt;2.5,1,0),0)</f>
        <v>0</v>
      </c>
      <c r="F76" s="215">
        <f>IF('4.Valoración'!F5&lt;&gt;"",IF('4.Valoración'!F5&gt;2.5,1,0),0)</f>
        <v>0</v>
      </c>
      <c r="G76" s="215">
        <f>IF('4.Valoración'!G5&lt;&gt;"",IF('4.Valoración'!G5&gt;2.5,1,0),0)</f>
        <v>0</v>
      </c>
      <c r="H76" s="215">
        <f>IF('4.Valoración'!H5&lt;&gt;"",IF('4.Valoración'!H5&gt;2.5,1,0),0)</f>
        <v>0</v>
      </c>
      <c r="I76" s="215">
        <f>IF('4.Valoración'!I5&lt;&gt;"",IF('4.Valoración'!I5&gt;2.5,1,0),0)</f>
        <v>0</v>
      </c>
      <c r="J76" s="215">
        <f>IF('4.Valoración'!J5&lt;&gt;"",IF('4.Valoración'!J5&gt;2.5,1,0),0)</f>
        <v>0</v>
      </c>
      <c r="K76" s="215">
        <f>IF('4.Valoración'!K5&lt;&gt;"",IF('4.Valoración'!K5&gt;2.5,1,0),0)</f>
        <v>0</v>
      </c>
      <c r="L76" s="246">
        <f>SUM(B76:K76)</f>
        <v>0</v>
      </c>
    </row>
  </sheetData>
  <sheetProtection selectLockedCells="1" selectUnlockedCells="1"/>
  <pageMargins left="0.7" right="0.7" top="0.75" bottom="0.75" header="0.3" footer="0.3"/>
  <ignoredErrors>
    <ignoredError sqref="B5:K5"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Instrucciones</vt:lpstr>
      <vt:lpstr>1.IS</vt:lpstr>
      <vt:lpstr>2.FCF</vt:lpstr>
      <vt:lpstr>3.ROIC</vt:lpstr>
      <vt:lpstr>4.Valoración</vt:lpstr>
      <vt:lpstr>5.Red Flags</vt:lpstr>
      <vt:lpstr>6.Gráficos</vt:lpstr>
      <vt:lpstr>7.TIKR_IS</vt:lpstr>
      <vt:lpstr>8.TIKR_BS</vt:lpstr>
      <vt:lpstr>9.TIKR_CF</vt:lpstr>
      <vt:lpstr>10.Glosario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2026-04-16T22:31:22Z</dcterms:modified>
</cp:coreProperties>
</file>
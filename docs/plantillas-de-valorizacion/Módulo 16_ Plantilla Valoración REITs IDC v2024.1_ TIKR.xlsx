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xr:revisionPtr revIDLastSave="0" documentId="13_ncr:1_{7A398DA6-B36D-4D27-A262-68EFA71C3AC5}" xr6:coauthVersionLast="47" xr6:coauthVersionMax="47" xr10:uidLastSave="{00000000-0000-0000-0000-000000000000}"/>
  <bookViews>
    <workbookView xWindow="-120" yWindow="-120" windowWidth="29040" windowHeight="15720" tabRatio="636" xr2:uid="{00000000-000D-0000-FFFF-FFFF00000000}"/>
  </bookViews>
  <sheets>
    <sheet name="Instrucciones" sheetId="13" r:id="rId1"/>
    <sheet name="1.FFO" sheetId="1" r:id="rId2"/>
    <sheet name="3.ROIC" sheetId="3" r:id="rId3"/>
    <sheet name="4.Valoración" sheetId="5" r:id="rId4"/>
    <sheet name="5.Red Flags" sheetId="14" r:id="rId5"/>
    <sheet name="7.TIKR_IS" sheetId="8" r:id="rId6"/>
    <sheet name="8.TIKR_BS" sheetId="10" r:id="rId7"/>
    <sheet name="9.TIKR_CF" sheetId="11" r:id="rId8"/>
    <sheet name="10.Glosario" sheetId="6" r:id="rId9"/>
    <sheet name="TIKR_Cálculos" sheetId="12" state="hidden" r:id="rId10"/>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2" i="1" l="1"/>
  <c r="K7" i="14"/>
  <c r="J7" i="14"/>
  <c r="I7" i="14"/>
  <c r="H7" i="14"/>
  <c r="G7" i="14"/>
  <c r="F7" i="14"/>
  <c r="E7" i="14"/>
  <c r="D7" i="14"/>
  <c r="C7" i="14"/>
  <c r="I6" i="14"/>
  <c r="H6" i="14"/>
  <c r="G6" i="14"/>
  <c r="F6" i="14"/>
  <c r="E6" i="14"/>
  <c r="D6" i="14"/>
  <c r="C6" i="14"/>
  <c r="K5" i="14"/>
  <c r="J5" i="14"/>
  <c r="I5" i="14"/>
  <c r="H5" i="14"/>
  <c r="G5" i="14"/>
  <c r="F5" i="14"/>
  <c r="E5" i="14"/>
  <c r="D5" i="14"/>
  <c r="C5" i="14"/>
  <c r="K4" i="14"/>
  <c r="J4" i="14"/>
  <c r="I4" i="14"/>
  <c r="H4" i="14"/>
  <c r="G4" i="14"/>
  <c r="F4" i="14"/>
  <c r="E4" i="14"/>
  <c r="D4" i="14"/>
  <c r="C4" i="14"/>
  <c r="B7" i="14"/>
  <c r="B6" i="14"/>
  <c r="B5" i="14"/>
  <c r="B4" i="14"/>
  <c r="K42" i="12"/>
  <c r="J42" i="12"/>
  <c r="I42" i="12"/>
  <c r="H42" i="12"/>
  <c r="G42" i="12"/>
  <c r="F42" i="12"/>
  <c r="F44" i="12" s="1"/>
  <c r="E42" i="12"/>
  <c r="E44" i="12" s="1"/>
  <c r="D42" i="12"/>
  <c r="D44" i="12" s="1"/>
  <c r="C42" i="12"/>
  <c r="C44" i="12" s="1"/>
  <c r="B42" i="12"/>
  <c r="B44" i="12" s="1"/>
  <c r="B40" i="12"/>
  <c r="C40" i="12"/>
  <c r="D40" i="12"/>
  <c r="E40" i="12"/>
  <c r="F40" i="12"/>
  <c r="G40" i="12"/>
  <c r="H40" i="12"/>
  <c r="I40" i="12"/>
  <c r="J40" i="12"/>
  <c r="K40" i="12"/>
  <c r="K2" i="1"/>
  <c r="K6" i="14" s="1"/>
  <c r="J2" i="1"/>
  <c r="J6" i="14" s="1"/>
  <c r="H2" i="1"/>
  <c r="G2" i="1"/>
  <c r="F2" i="1"/>
  <c r="E2" i="1"/>
  <c r="D2" i="1"/>
  <c r="C2" i="1"/>
  <c r="B2" i="1"/>
  <c r="G44" i="12" l="1"/>
  <c r="H44" i="12"/>
  <c r="I44" i="12"/>
  <c r="J44" i="12"/>
  <c r="K44" i="12"/>
  <c r="B5" i="1"/>
  <c r="C5" i="1"/>
  <c r="D5" i="1"/>
  <c r="E5" i="1"/>
  <c r="F5" i="1"/>
  <c r="G5" i="1"/>
  <c r="H5" i="1"/>
  <c r="I5" i="1"/>
  <c r="J5" i="1"/>
  <c r="K5" i="1"/>
  <c r="K21" i="12"/>
  <c r="J21" i="12"/>
  <c r="I21" i="12"/>
  <c r="H21" i="12"/>
  <c r="G21" i="12"/>
  <c r="F21" i="12"/>
  <c r="E21" i="12"/>
  <c r="D21" i="12"/>
  <c r="C21" i="12"/>
  <c r="B21" i="12"/>
  <c r="L2" i="1"/>
  <c r="M2" i="1" s="1"/>
  <c r="N2" i="1" s="1"/>
  <c r="O2" i="1" s="1"/>
  <c r="P2" i="1" s="1"/>
  <c r="P39" i="12" s="1"/>
  <c r="M39" i="12" l="1"/>
  <c r="O39" i="12"/>
  <c r="N39" i="12"/>
  <c r="L39" i="12"/>
  <c r="L21" i="12"/>
  <c r="J9" i="1"/>
  <c r="I9" i="1"/>
  <c r="H9" i="1"/>
  <c r="G9" i="1"/>
  <c r="F9" i="1"/>
  <c r="E9" i="1"/>
  <c r="D9" i="1"/>
  <c r="C9" i="1"/>
  <c r="B9" i="1"/>
  <c r="C2" i="14"/>
  <c r="B30" i="12"/>
  <c r="J30" i="12"/>
  <c r="B3" i="1"/>
  <c r="K30" i="12"/>
  <c r="I30" i="12"/>
  <c r="H30" i="12"/>
  <c r="G30" i="12"/>
  <c r="F30" i="12"/>
  <c r="E30" i="12"/>
  <c r="D30" i="12"/>
  <c r="K22" i="12"/>
  <c r="J22" i="12"/>
  <c r="I22" i="12"/>
  <c r="H22" i="12"/>
  <c r="G22" i="12"/>
  <c r="F22" i="12"/>
  <c r="E22" i="12"/>
  <c r="D22" i="12"/>
  <c r="C22" i="12"/>
  <c r="B22" i="12"/>
  <c r="B4" i="12"/>
  <c r="K20" i="12"/>
  <c r="J20" i="12"/>
  <c r="I20" i="12"/>
  <c r="H20" i="12"/>
  <c r="G20" i="12"/>
  <c r="F20" i="12"/>
  <c r="E20" i="12"/>
  <c r="D20" i="12"/>
  <c r="C20" i="12"/>
  <c r="K19" i="12"/>
  <c r="J19" i="12"/>
  <c r="I19" i="12"/>
  <c r="H19" i="12"/>
  <c r="G19" i="12"/>
  <c r="F19" i="12"/>
  <c r="E19" i="12"/>
  <c r="D19" i="12"/>
  <c r="C19" i="12"/>
  <c r="B20" i="12"/>
  <c r="B19" i="12"/>
  <c r="K10" i="3"/>
  <c r="J10" i="3"/>
  <c r="I10" i="3"/>
  <c r="H10" i="3"/>
  <c r="G10" i="3"/>
  <c r="F10" i="3"/>
  <c r="E10" i="3"/>
  <c r="D10" i="3"/>
  <c r="C10" i="3"/>
  <c r="K9" i="3"/>
  <c r="J9" i="3"/>
  <c r="I9" i="3"/>
  <c r="H9" i="3"/>
  <c r="G9" i="3"/>
  <c r="F9" i="3"/>
  <c r="E9" i="3"/>
  <c r="D9" i="3"/>
  <c r="C9" i="3"/>
  <c r="K8" i="3"/>
  <c r="J8" i="3"/>
  <c r="I8" i="3"/>
  <c r="H8" i="3"/>
  <c r="G8" i="3"/>
  <c r="F8" i="3"/>
  <c r="E8" i="3"/>
  <c r="D8" i="3"/>
  <c r="C8" i="3"/>
  <c r="K7" i="3"/>
  <c r="J7" i="3"/>
  <c r="I7" i="3"/>
  <c r="H7" i="3"/>
  <c r="G7" i="3"/>
  <c r="F7" i="3"/>
  <c r="E7" i="3"/>
  <c r="D7" i="3"/>
  <c r="C7" i="3"/>
  <c r="K6" i="3"/>
  <c r="J6" i="3"/>
  <c r="I6" i="3"/>
  <c r="H6" i="3"/>
  <c r="G6" i="3"/>
  <c r="F6" i="3"/>
  <c r="E6" i="3"/>
  <c r="D6" i="3"/>
  <c r="C6" i="3"/>
  <c r="K4" i="3"/>
  <c r="K5" i="3" s="1"/>
  <c r="J4" i="3"/>
  <c r="J5" i="3" s="1"/>
  <c r="I4" i="3"/>
  <c r="I5" i="3" s="1"/>
  <c r="H4" i="3"/>
  <c r="H5" i="3" s="1"/>
  <c r="G4" i="3"/>
  <c r="G5" i="3" s="1"/>
  <c r="F4" i="3"/>
  <c r="F5" i="3" s="1"/>
  <c r="E4" i="3"/>
  <c r="E5" i="3" s="1"/>
  <c r="D4" i="3"/>
  <c r="D5" i="3" s="1"/>
  <c r="C4" i="3"/>
  <c r="C5" i="3" s="1"/>
  <c r="B10" i="3"/>
  <c r="B9" i="3"/>
  <c r="B8" i="3"/>
  <c r="B7" i="3"/>
  <c r="B6" i="3"/>
  <c r="B4" i="3"/>
  <c r="B5" i="3" s="1"/>
  <c r="K11" i="1"/>
  <c r="J11" i="1"/>
  <c r="I11" i="1"/>
  <c r="H11" i="1"/>
  <c r="G11" i="1"/>
  <c r="F11" i="1"/>
  <c r="E11" i="1"/>
  <c r="D11" i="1"/>
  <c r="C11" i="1"/>
  <c r="B11" i="1"/>
  <c r="K3" i="1"/>
  <c r="J3" i="1"/>
  <c r="I3" i="1"/>
  <c r="H3" i="1"/>
  <c r="G3" i="1"/>
  <c r="F3" i="1"/>
  <c r="E3" i="1"/>
  <c r="D3" i="1"/>
  <c r="C3" i="1"/>
  <c r="H11" i="3" l="1"/>
  <c r="J11" i="3"/>
  <c r="I11" i="3"/>
  <c r="K11" i="3"/>
  <c r="C11" i="3"/>
  <c r="D11" i="3"/>
  <c r="B11" i="3"/>
  <c r="E11" i="3"/>
  <c r="F11" i="3"/>
  <c r="G11" i="3"/>
  <c r="H8" i="1"/>
  <c r="H43" i="12"/>
  <c r="H41" i="12"/>
  <c r="I8" i="1"/>
  <c r="I43" i="12"/>
  <c r="I41" i="12"/>
  <c r="J43" i="12"/>
  <c r="J41" i="12"/>
  <c r="K8" i="1"/>
  <c r="K43" i="12"/>
  <c r="L43" i="12" s="1"/>
  <c r="K41" i="12"/>
  <c r="L41" i="12" s="1"/>
  <c r="B8" i="1"/>
  <c r="B41" i="12"/>
  <c r="B43" i="12"/>
  <c r="C8" i="1"/>
  <c r="C43" i="12"/>
  <c r="C41" i="12"/>
  <c r="D41" i="12"/>
  <c r="D43" i="12"/>
  <c r="E41" i="12"/>
  <c r="E43" i="12"/>
  <c r="F8" i="1"/>
  <c r="F41" i="12"/>
  <c r="F43" i="12"/>
  <c r="G41" i="12"/>
  <c r="G43" i="12"/>
  <c r="E8" i="1"/>
  <c r="G8" i="1"/>
  <c r="D8" i="1"/>
  <c r="J8" i="1"/>
  <c r="S5" i="1"/>
  <c r="T5" i="1" s="1"/>
  <c r="B10" i="1"/>
  <c r="G10" i="1"/>
  <c r="F10" i="1"/>
  <c r="H10" i="1"/>
  <c r="I10" i="1"/>
  <c r="J10" i="1"/>
  <c r="C10" i="1"/>
  <c r="D10" i="1"/>
  <c r="E10" i="1"/>
  <c r="B13" i="5"/>
  <c r="B3" i="3"/>
  <c r="B33" i="12"/>
  <c r="C3" i="3"/>
  <c r="C33" i="12"/>
  <c r="D3" i="3"/>
  <c r="D33" i="12"/>
  <c r="E3" i="3"/>
  <c r="E33" i="12"/>
  <c r="F3" i="3"/>
  <c r="F33" i="12"/>
  <c r="G3" i="3"/>
  <c r="G33" i="12"/>
  <c r="H3" i="3"/>
  <c r="H33" i="12"/>
  <c r="I3" i="3"/>
  <c r="I33" i="12"/>
  <c r="J3" i="3"/>
  <c r="J33" i="12"/>
  <c r="G12" i="1"/>
  <c r="J12" i="1"/>
  <c r="I12" i="1"/>
  <c r="D12" i="1"/>
  <c r="F12" i="1"/>
  <c r="H12" i="1"/>
  <c r="K12" i="1"/>
  <c r="C12" i="1"/>
  <c r="E12" i="1"/>
  <c r="K9" i="1"/>
  <c r="K10" i="1" s="1"/>
  <c r="H2" i="14"/>
  <c r="J2" i="14"/>
  <c r="K2" i="14"/>
  <c r="B2" i="14"/>
  <c r="D2" i="14"/>
  <c r="E2" i="14"/>
  <c r="F2" i="14"/>
  <c r="G2" i="14"/>
  <c r="I2" i="14"/>
  <c r="B7" i="12"/>
  <c r="B8" i="12" s="1"/>
  <c r="C30" i="12"/>
  <c r="B10" i="12"/>
  <c r="B25" i="12"/>
  <c r="C6" i="1"/>
  <c r="B14" i="12"/>
  <c r="B13" i="12"/>
  <c r="B11" i="12"/>
  <c r="B16" i="12" s="1"/>
  <c r="B9" i="12"/>
  <c r="I6" i="1"/>
  <c r="J4" i="5"/>
  <c r="J5" i="5" s="1"/>
  <c r="J35" i="12" s="1"/>
  <c r="H6" i="1"/>
  <c r="K4" i="1"/>
  <c r="D6" i="1"/>
  <c r="K3" i="5"/>
  <c r="I4" i="5"/>
  <c r="I5" i="5" s="1"/>
  <c r="I35" i="12" s="1"/>
  <c r="K4" i="5"/>
  <c r="K5" i="5" s="1"/>
  <c r="K35" i="12" s="1"/>
  <c r="H4" i="5"/>
  <c r="H5" i="5" s="1"/>
  <c r="H35" i="12" s="1"/>
  <c r="L19" i="12"/>
  <c r="L20" i="12"/>
  <c r="L22" i="12"/>
  <c r="F6" i="1"/>
  <c r="E6" i="1"/>
  <c r="J6" i="1"/>
  <c r="I4" i="1"/>
  <c r="J4" i="1"/>
  <c r="G6" i="1"/>
  <c r="K6" i="1"/>
  <c r="B18" i="12"/>
  <c r="B39" i="12" s="1"/>
  <c r="M43" i="12" l="1"/>
  <c r="M41" i="12"/>
  <c r="K33" i="12"/>
  <c r="L33" i="12" s="1"/>
  <c r="B14" i="5"/>
  <c r="K3" i="3"/>
  <c r="G32" i="12"/>
  <c r="E32" i="12"/>
  <c r="H26" i="12"/>
  <c r="I31" i="12"/>
  <c r="F32" i="12"/>
  <c r="H32" i="12"/>
  <c r="I32" i="12"/>
  <c r="K32" i="12"/>
  <c r="I26" i="12"/>
  <c r="J31" i="12"/>
  <c r="D32" i="12"/>
  <c r="J26" i="12"/>
  <c r="K31" i="12"/>
  <c r="J32" i="12"/>
  <c r="B15" i="12"/>
  <c r="C25" i="12"/>
  <c r="N41" i="12" l="1"/>
  <c r="N43" i="12"/>
  <c r="D25" i="12"/>
  <c r="C18" i="12"/>
  <c r="C39" i="12" s="1"/>
  <c r="O41" i="12" l="1"/>
  <c r="O43" i="12"/>
  <c r="E25" i="12"/>
  <c r="D18" i="12"/>
  <c r="D39" i="12" s="1"/>
  <c r="F4" i="12"/>
  <c r="E4" i="12"/>
  <c r="D4" i="12"/>
  <c r="C4" i="12"/>
  <c r="P43" i="12" l="1"/>
  <c r="P41" i="12"/>
  <c r="F25" i="12"/>
  <c r="E18" i="12"/>
  <c r="E39" i="12" s="1"/>
  <c r="E4" i="5"/>
  <c r="E5" i="5" s="1"/>
  <c r="E35" i="12" s="1"/>
  <c r="F4" i="5"/>
  <c r="F5" i="5" s="1"/>
  <c r="F35" i="12" s="1"/>
  <c r="C4" i="5"/>
  <c r="C5" i="5" s="1"/>
  <c r="C35" i="12" s="1"/>
  <c r="D4" i="5"/>
  <c r="D5" i="5" s="1"/>
  <c r="D35" i="12" s="1"/>
  <c r="G4" i="5"/>
  <c r="G5" i="5" s="1"/>
  <c r="G35" i="12" s="1"/>
  <c r="B2" i="5"/>
  <c r="K16" i="5"/>
  <c r="H16" i="5"/>
  <c r="G25" i="12" l="1"/>
  <c r="F18" i="12"/>
  <c r="F39" i="12" s="1"/>
  <c r="B12" i="12"/>
  <c r="B4" i="5"/>
  <c r="B5" i="5" s="1"/>
  <c r="B35" i="12" s="1"/>
  <c r="B13" i="3"/>
  <c r="L5" i="5" l="1"/>
  <c r="H25" i="12"/>
  <c r="I13" i="3"/>
  <c r="I2" i="3"/>
  <c r="I2" i="5"/>
  <c r="I18" i="12"/>
  <c r="I39" i="12" s="1"/>
  <c r="G18" i="12"/>
  <c r="G39" i="12" s="1"/>
  <c r="I25" i="12" l="1"/>
  <c r="J13" i="3"/>
  <c r="J18" i="12"/>
  <c r="J39" i="12" s="1"/>
  <c r="J2" i="3"/>
  <c r="J2" i="5"/>
  <c r="H18" i="12"/>
  <c r="H39" i="12" s="1"/>
  <c r="B2" i="3"/>
  <c r="C4" i="1"/>
  <c r="C31" i="12" s="1"/>
  <c r="D4" i="1"/>
  <c r="E4" i="1"/>
  <c r="F4" i="1"/>
  <c r="G4" i="1"/>
  <c r="H4" i="1"/>
  <c r="B6" i="1"/>
  <c r="C32" i="12" s="1"/>
  <c r="L32" i="12" s="1"/>
  <c r="B12" i="14" s="1"/>
  <c r="L35" i="12" l="1"/>
  <c r="B15" i="14" s="1"/>
  <c r="E26" i="12"/>
  <c r="F31" i="12"/>
  <c r="D26" i="12"/>
  <c r="E31" i="12"/>
  <c r="C26" i="12"/>
  <c r="D31" i="12"/>
  <c r="G26" i="12"/>
  <c r="H31" i="12"/>
  <c r="F26" i="12"/>
  <c r="G31" i="12"/>
  <c r="J25" i="12"/>
  <c r="B6" i="12"/>
  <c r="K2" i="5"/>
  <c r="K13" i="3"/>
  <c r="K18" i="12"/>
  <c r="K39" i="12" s="1"/>
  <c r="S2" i="1"/>
  <c r="K2" i="3"/>
  <c r="R13" i="3" s="1"/>
  <c r="S4" i="1"/>
  <c r="T4" i="1" s="1"/>
  <c r="S6" i="1"/>
  <c r="T6" i="1" s="1"/>
  <c r="L11" i="1" s="1"/>
  <c r="L12" i="1" s="1"/>
  <c r="B26" i="12"/>
  <c r="S3" i="1"/>
  <c r="T3" i="1" s="1"/>
  <c r="C2" i="5"/>
  <c r="B13" i="14"/>
  <c r="C13" i="3"/>
  <c r="K6" i="5"/>
  <c r="C2" i="3"/>
  <c r="L31" i="12" l="1"/>
  <c r="B11" i="14" s="1"/>
  <c r="L9" i="3"/>
  <c r="M9" i="3" s="1"/>
  <c r="N9" i="3" s="1"/>
  <c r="O9" i="3" s="1"/>
  <c r="P9" i="3" s="1"/>
  <c r="L8" i="3"/>
  <c r="M8" i="3" s="1"/>
  <c r="N8" i="3" s="1"/>
  <c r="O8" i="3" s="1"/>
  <c r="P8" i="3" s="1"/>
  <c r="L3" i="1"/>
  <c r="I14" i="3"/>
  <c r="J14" i="3"/>
  <c r="K14" i="3"/>
  <c r="M5" i="5"/>
  <c r="D2" i="5"/>
  <c r="M4" i="1"/>
  <c r="N4" i="1"/>
  <c r="O4" i="1"/>
  <c r="L4" i="1"/>
  <c r="P4" i="1"/>
  <c r="D13" i="3"/>
  <c r="D2" i="3"/>
  <c r="M11" i="1"/>
  <c r="L3" i="5"/>
  <c r="L5" i="3" l="1"/>
  <c r="L4" i="3"/>
  <c r="L42" i="12"/>
  <c r="L44" i="12" s="1"/>
  <c r="L10" i="3" s="1"/>
  <c r="L40" i="12"/>
  <c r="L4" i="5" s="1"/>
  <c r="L7" i="1"/>
  <c r="L8" i="1" s="1"/>
  <c r="L5" i="1"/>
  <c r="M3" i="5"/>
  <c r="M12" i="1"/>
  <c r="K34" i="12"/>
  <c r="J34" i="12"/>
  <c r="I34" i="12"/>
  <c r="N5" i="5"/>
  <c r="E2" i="5"/>
  <c r="M3" i="1"/>
  <c r="E13" i="3"/>
  <c r="E2" i="3"/>
  <c r="N11" i="1"/>
  <c r="N12" i="1" s="1"/>
  <c r="M40" i="12" l="1"/>
  <c r="M42" i="12"/>
  <c r="M44" i="12" s="1"/>
  <c r="M10" i="3" s="1"/>
  <c r="M4" i="3"/>
  <c r="M5" i="3"/>
  <c r="L9" i="1"/>
  <c r="L10" i="1" s="1"/>
  <c r="M7" i="1"/>
  <c r="M8" i="1" s="1"/>
  <c r="M4" i="5"/>
  <c r="C13" i="5"/>
  <c r="D13" i="5" s="1"/>
  <c r="N3" i="1"/>
  <c r="O5" i="5"/>
  <c r="F2" i="5"/>
  <c r="M5" i="1"/>
  <c r="L3" i="3"/>
  <c r="L6" i="1"/>
  <c r="F13" i="3"/>
  <c r="F2" i="3"/>
  <c r="N3" i="5"/>
  <c r="O11" i="1"/>
  <c r="O12" i="1" s="1"/>
  <c r="N5" i="3" l="1"/>
  <c r="N4" i="3"/>
  <c r="N40" i="12"/>
  <c r="N4" i="5" s="1"/>
  <c r="N42" i="12"/>
  <c r="N44" i="12" s="1"/>
  <c r="N10" i="3" s="1"/>
  <c r="N7" i="1"/>
  <c r="N8" i="1" s="1"/>
  <c r="M9" i="1"/>
  <c r="M10" i="1" s="1"/>
  <c r="C14" i="5"/>
  <c r="D14" i="5" s="1"/>
  <c r="B18" i="5" s="1"/>
  <c r="N5" i="1"/>
  <c r="O3" i="1"/>
  <c r="P5" i="5"/>
  <c r="G2" i="5"/>
  <c r="M3" i="3"/>
  <c r="M6" i="1"/>
  <c r="G13" i="3"/>
  <c r="G2" i="3"/>
  <c r="P11" i="1"/>
  <c r="O3" i="5"/>
  <c r="C14" i="3"/>
  <c r="H14" i="3"/>
  <c r="D14" i="3"/>
  <c r="B14" i="3"/>
  <c r="B34" i="12" s="1"/>
  <c r="E14" i="3"/>
  <c r="G14" i="3"/>
  <c r="F14" i="3"/>
  <c r="O42" i="12" l="1"/>
  <c r="O44" i="12" s="1"/>
  <c r="O10" i="3" s="1"/>
  <c r="O40" i="12"/>
  <c r="O4" i="5" s="1"/>
  <c r="O4" i="3"/>
  <c r="O5" i="3"/>
  <c r="O7" i="1"/>
  <c r="O8" i="1" s="1"/>
  <c r="N9" i="1"/>
  <c r="N10" i="1" s="1"/>
  <c r="C18" i="5"/>
  <c r="P3" i="5"/>
  <c r="P12" i="1"/>
  <c r="G34" i="12"/>
  <c r="D34" i="12"/>
  <c r="H34" i="12"/>
  <c r="C34" i="12"/>
  <c r="F34" i="12"/>
  <c r="E34" i="12"/>
  <c r="R14" i="3"/>
  <c r="N3" i="3"/>
  <c r="N6" i="1"/>
  <c r="O5" i="1"/>
  <c r="P3" i="1"/>
  <c r="H2" i="3"/>
  <c r="B3" i="12"/>
  <c r="H2" i="5"/>
  <c r="H13" i="3"/>
  <c r="P5" i="3" l="1"/>
  <c r="P4" i="3"/>
  <c r="P40" i="12"/>
  <c r="P42" i="12"/>
  <c r="P44" i="12" s="1"/>
  <c r="P10" i="3" s="1"/>
  <c r="D18" i="5"/>
  <c r="P7" i="1"/>
  <c r="P8" i="1" s="1"/>
  <c r="O9" i="1"/>
  <c r="O10" i="1" s="1"/>
  <c r="P4" i="5"/>
  <c r="L34" i="12"/>
  <c r="B14" i="14" s="1"/>
  <c r="O3" i="3"/>
  <c r="O6" i="1"/>
  <c r="P5" i="1"/>
  <c r="L2" i="5"/>
  <c r="B16" i="5" s="1"/>
  <c r="L13" i="3"/>
  <c r="L2" i="3"/>
  <c r="C3" i="12"/>
  <c r="E18" i="5" l="1"/>
  <c r="P9" i="1"/>
  <c r="P10" i="1" s="1"/>
  <c r="P3" i="3"/>
  <c r="P6" i="1"/>
  <c r="D3" i="12"/>
  <c r="M13" i="3"/>
  <c r="M2" i="5"/>
  <c r="C16" i="5" s="1"/>
  <c r="M2" i="3"/>
  <c r="F18" i="5" l="1"/>
  <c r="N13" i="3"/>
  <c r="N2" i="5"/>
  <c r="D16" i="5" s="1"/>
  <c r="E3" i="12"/>
  <c r="N2" i="3"/>
  <c r="F3" i="12" l="1"/>
  <c r="O2" i="5"/>
  <c r="E16" i="5" s="1"/>
  <c r="O2" i="3"/>
  <c r="O13" i="3"/>
  <c r="P13" i="3" l="1"/>
  <c r="P2" i="5"/>
  <c r="F16" i="5" s="1"/>
  <c r="P2" i="3"/>
  <c r="T2" i="1"/>
  <c r="L7" i="3" l="1"/>
  <c r="L6" i="3"/>
  <c r="L11" i="3" l="1"/>
  <c r="L14" i="3" s="1"/>
  <c r="M7" i="3"/>
  <c r="M6" i="3"/>
  <c r="L6" i="5"/>
  <c r="M11" i="3" l="1"/>
  <c r="M14" i="3" s="1"/>
  <c r="N6" i="3"/>
  <c r="N7" i="3"/>
  <c r="M6" i="5"/>
  <c r="N11" i="3" l="1"/>
  <c r="N14" i="3" s="1"/>
  <c r="O6" i="3"/>
  <c r="O7" i="3"/>
  <c r="N6" i="5"/>
  <c r="O11" i="3" l="1"/>
  <c r="O14" i="3" s="1"/>
  <c r="P6" i="3"/>
  <c r="P7" i="3"/>
  <c r="P6" i="5"/>
  <c r="O6" i="5"/>
  <c r="P11" i="3" l="1"/>
  <c r="P14" i="3" s="1"/>
  <c r="F17" i="5" l="1"/>
  <c r="E17" i="5"/>
  <c r="D17" i="5"/>
  <c r="C17" i="5"/>
  <c r="B17" i="5"/>
  <c r="D19" i="5" l="1"/>
  <c r="D20" i="5" s="1"/>
  <c r="B19" i="5"/>
  <c r="B20" i="5" s="1"/>
  <c r="C19" i="5"/>
  <c r="C20" i="5" s="1"/>
  <c r="E19" i="5" l="1"/>
  <c r="E20" i="5" s="1"/>
  <c r="K18" i="5" l="1"/>
  <c r="D10" i="5" s="1"/>
  <c r="K17" i="5"/>
  <c r="F19" i="5" l="1"/>
  <c r="F20" i="5" s="1"/>
  <c r="K1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R3" authorId="0" shapeId="0" xr:uid="{A8AFBDE3-D2C0-4451-84A1-205325C497FC}">
      <text>
        <r>
          <rPr>
            <sz val="9"/>
            <color rgb="FF000000"/>
            <rFont val="Tahoma"/>
            <family val="2"/>
          </rPr>
          <t xml:space="preserve">Crecimiento anual estimado de ventas para los próximos 5 años fiscales
</t>
        </r>
        <r>
          <rPr>
            <sz val="9"/>
            <color rgb="FF000000"/>
            <rFont val="Tahoma"/>
            <family val="2"/>
          </rPr>
          <t xml:space="preserve">
</t>
        </r>
        <r>
          <rPr>
            <sz val="9"/>
            <color rgb="FF000000"/>
            <rFont val="Tahoma"/>
            <family val="2"/>
          </rPr>
          <t>Por defecto usa el del año fiscal más reciente</t>
        </r>
      </text>
    </comment>
    <comment ref="R4" authorId="0" shapeId="0" xr:uid="{5D5A1CFF-E654-469D-98F3-42551D867309}">
      <text>
        <r>
          <rPr>
            <sz val="9"/>
            <color rgb="FF000000"/>
            <rFont val="Tahoma"/>
            <family val="2"/>
          </rPr>
          <t>Margen FFO  estimado para  los próximos 5 años fiscales
¡Ojo! Normalizar el margen eliminando gastos e ingresos extraordinarios
Por defecto, la plantillla calcula como referencia el promedio de los 10 últimos años fiscales, debes modificarlo manualmente si crees que esto es incorrecto</t>
        </r>
      </text>
    </comment>
    <comment ref="A5" authorId="0" shapeId="0" xr:uid="{407BD63A-7F0A-4863-86D3-81068853917D}">
      <text>
        <r>
          <rPr>
            <sz val="9"/>
            <color indexed="81"/>
            <rFont val="Tahoma"/>
            <family val="2"/>
          </rPr>
          <t xml:space="preserve">CapEx Neto = Acquisition of Real Estate Assets + Sale of Real Estate Assets
Estas dos partidas aparecen dentro de los "Cash flows from investing"
</t>
        </r>
      </text>
    </comment>
    <comment ref="R5" authorId="0" shapeId="0" xr:uid="{C2CD7A5E-642B-4FE4-8957-4B10EEE093F0}">
      <text>
        <r>
          <rPr>
            <sz val="9"/>
            <color rgb="FF000000"/>
            <rFont val="Tahoma"/>
            <family val="2"/>
          </rPr>
          <t>Margen FFO  estimado para  los próximos 5 años fiscales
¡Ojo! Normalizar el margen eliminando gastos e ingresos extraordinarios
Por defecto, la plantillla calcula como referencia el promedio de los 10 últimos años fiscales, debes modificarlo manualmente si crees que esto es incorrecto</t>
        </r>
      </text>
    </comment>
    <comment ref="R6" authorId="0" shapeId="0" xr:uid="{EEF8CCB8-490F-40D4-9826-DD01275D382A}">
      <text>
        <r>
          <rPr>
            <b/>
            <sz val="9"/>
            <color indexed="81"/>
            <rFont val="Tahoma"/>
            <family val="2"/>
          </rPr>
          <t>IDC:</t>
        </r>
        <r>
          <rPr>
            <sz val="9"/>
            <color indexed="81"/>
            <rFont val="Tahoma"/>
            <family val="2"/>
          </rPr>
          <t xml:space="preserve">
Por defecto usa la media de los 6 últimos años fiscales</t>
        </r>
      </text>
    </comment>
    <comment ref="A11"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00000000-0006-0000-0300-000001000000}">
      <text>
        <r>
          <rPr>
            <b/>
            <sz val="18"/>
            <color rgb="FF000000"/>
            <rFont val="Calibri"/>
            <family val="2"/>
          </rPr>
          <t>Fernando:</t>
        </r>
        <r>
          <rPr>
            <sz val="9"/>
            <color rgb="FF000000"/>
            <rFont val="Calibri"/>
            <family val="2"/>
          </rPr>
          <t xml:space="preserve">
</t>
        </r>
        <r>
          <rPr>
            <sz val="14"/>
            <color rgb="FF000000"/>
            <rFont val="Calibri"/>
            <family val="2"/>
          </rPr>
          <t>SI NO HAS INCLUIDO EL "CASH AND CASH EQUIVALENTS" EN EL CÁLCULO DEL ROIC, DEBES HACERLO AHORA PARA EL CÁLCULO DEL EV</t>
        </r>
      </text>
    </comment>
    <comment ref="B12"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2" authorId="0" shapeId="0" xr:uid="{DA113695-767D-40F7-A372-83279917C8EB}">
      <text>
        <r>
          <rPr>
            <sz val="9"/>
            <color indexed="81"/>
            <rFont val="Tahoma"/>
            <family val="2"/>
          </rPr>
          <t>Se calculan con las estimaciones del primer año disponible</t>
        </r>
      </text>
    </comment>
    <comment ref="H16"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6" authorId="0" shapeId="0" xr:uid="{DAB37B55-8C47-4CB1-AEC2-CC3151BEA785}">
      <text>
        <r>
          <rPr>
            <b/>
            <sz val="9"/>
            <color indexed="81"/>
            <rFont val="Tahoma"/>
            <family val="2"/>
          </rPr>
          <t>Autor:</t>
        </r>
        <r>
          <rPr>
            <sz val="9"/>
            <color indexed="81"/>
            <rFont val="Tahoma"/>
            <family val="2"/>
          </rPr>
          <t xml:space="preserve">
Pagos en acciones / Stock-based compensation</t>
        </r>
      </text>
    </comment>
    <comment ref="A7" authorId="0" shapeId="0" xr:uid="{E6634C8C-9435-4EF1-85A2-01D228FF3729}">
      <text>
        <r>
          <rPr>
            <b/>
            <sz val="9"/>
            <color indexed="81"/>
            <rFont val="Tahoma"/>
            <family val="2"/>
          </rPr>
          <t>Autor:</t>
        </r>
        <r>
          <rPr>
            <sz val="9"/>
            <color indexed="81"/>
            <rFont val="Tahoma"/>
            <family val="2"/>
          </rPr>
          <t xml:space="preserve">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11"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22"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sharedStrings.xml><?xml version="1.0" encoding="utf-8"?>
<sst xmlns="http://schemas.openxmlformats.org/spreadsheetml/2006/main" count="202" uniqueCount="166">
  <si>
    <t>Net Income</t>
  </si>
  <si>
    <t>EBITDA</t>
  </si>
  <si>
    <t>EBIT</t>
  </si>
  <si>
    <t>FCF</t>
  </si>
  <si>
    <t>Sales</t>
  </si>
  <si>
    <t>Market cap</t>
  </si>
  <si>
    <t xml:space="preserve">    Y/Y Growth %</t>
  </si>
  <si>
    <t>(+) Equity</t>
  </si>
  <si>
    <t>(-) Marketable Securities</t>
  </si>
  <si>
    <t>EBT</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</si>
  <si>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</si>
  <si>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</si>
  <si>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</si>
  <si>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</si>
  <si>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</si>
  <si>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</si>
  <si>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</si>
  <si>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</si>
  <si>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</si>
  <si>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</si>
  <si>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</si>
  <si>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</si>
  <si>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</si>
  <si>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</si>
  <si>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</si>
  <si>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</si>
  <si>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</si>
  <si>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</si>
  <si>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</si>
  <si>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</si>
  <si>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</si>
  <si>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</si>
  <si>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</si>
  <si>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</si>
  <si>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</si>
  <si>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</si>
  <si>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</si>
  <si>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</si>
  <si>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</si>
  <si>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Equity</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</si>
  <si>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</si>
  <si>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</si>
  <si>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</si>
  <si>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</si>
  <si>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</si>
  <si>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</si>
  <si>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</si>
  <si>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</si>
  <si>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</si>
  <si>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Promedio</t>
  </si>
  <si>
    <t>(+) Short-Term Debt</t>
  </si>
  <si>
    <t>(+) Long-Term Debt</t>
  </si>
  <si>
    <t>Aumento nº acciones</t>
  </si>
  <si>
    <t>Crecimiento en Ventas</t>
  </si>
  <si>
    <t>(millones, excepto EPS)</t>
  </si>
  <si>
    <t>Proyección a futuro</t>
  </si>
  <si>
    <r>
      <t xml:space="preserve">Net Debt (si es </t>
    </r>
    <r>
      <rPr>
        <b/>
        <sz val="12"/>
        <color theme="3"/>
        <rFont val="Ebrima"/>
      </rPr>
      <t>caja neta</t>
    </r>
    <r>
      <rPr>
        <sz val="12"/>
        <color theme="3"/>
        <rFont val="Ebrima"/>
      </rPr>
      <t xml:space="preserve"> va en </t>
    </r>
    <r>
      <rPr>
        <b/>
        <sz val="12"/>
        <color theme="3"/>
        <rFont val="Ebrima"/>
      </rPr>
      <t>NEGATIVO</t>
    </r>
    <r>
      <rPr>
        <sz val="12"/>
        <color theme="3"/>
        <rFont val="Ebrima"/>
      </rPr>
      <t>)</t>
    </r>
  </si>
  <si>
    <t>LTM</t>
  </si>
  <si>
    <t>Objetivo</t>
  </si>
  <si>
    <t>Precio objetivo</t>
  </si>
  <si>
    <t>NTM</t>
  </si>
  <si>
    <t>Opción 1</t>
  </si>
  <si>
    <t>Opción 2</t>
  </si>
  <si>
    <t>Opción 3</t>
  </si>
  <si>
    <t>WC año más reciente - WC año anterior. (P.ej.: WC 2021 - WC 2020)</t>
  </si>
  <si>
    <t>Valoración</t>
  </si>
  <si>
    <t>Márgenes %</t>
  </si>
  <si>
    <t>Rentabilidad %</t>
  </si>
  <si>
    <t>Enterprise Value / EBITDA</t>
  </si>
  <si>
    <t>Enterprise Value / EBIT</t>
  </si>
  <si>
    <t>Enterprise Value / FCF</t>
  </si>
  <si>
    <t>Beneficio "contable"</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</si>
  <si>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</si>
  <si>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</si>
  <si>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</si>
  <si>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</si>
  <si>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</si>
  <si>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Crecimiento</t>
  </si>
  <si>
    <t>Ventas</t>
  </si>
  <si>
    <t>(millones)</t>
  </si>
  <si>
    <t>EV / FCF</t>
  </si>
  <si>
    <t>EV / EBITDA</t>
  </si>
  <si>
    <t>EV / EBIT</t>
  </si>
  <si>
    <t>Invested Capital</t>
  </si>
  <si>
    <t>ROIC</t>
  </si>
  <si>
    <t>Fully diluted shares - millones</t>
  </si>
  <si>
    <t>Deuda neta / EBITDA</t>
  </si>
  <si>
    <t>Cash and cash equivalents</t>
  </si>
  <si>
    <t>Precio actual</t>
  </si>
  <si>
    <t>Valoración (millones)</t>
  </si>
  <si>
    <t>(+) Current Operating Leases Liabilities</t>
  </si>
  <si>
    <t>(+) Non-Current Operating Leases Liabilities</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</si>
  <si>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</si>
  <si>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</si>
  <si>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</si>
  <si>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</si>
  <si>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t>Asignación de capital</t>
  </si>
  <si>
    <t>Recompras</t>
  </si>
  <si>
    <t>Dividendos</t>
  </si>
  <si>
    <t>Total</t>
  </si>
  <si>
    <t>Acumulado</t>
  </si>
  <si>
    <t>Margen de seguridad</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</si>
  <si>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</si>
  <si>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</si>
  <si>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</si>
  <si>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</si>
  <si>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</si>
  <si>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</si>
  <si>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</si>
  <si>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</si>
  <si>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</si>
  <si>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</si>
  <si>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</si>
  <si>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</si>
  <si>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t xml:space="preserve"> </t>
  </si>
  <si>
    <t>Repago de deuda neto</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</si>
  <si>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</si>
  <si>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AJUSTAR MANUALMENTE</t>
  </si>
  <si>
    <t>Instrucciones de uso</t>
  </si>
  <si>
    <t>Adquisiciones (Crecimiento inorgánico)</t>
  </si>
  <si>
    <t>Impairments</t>
  </si>
  <si>
    <t>Desinversiones</t>
  </si>
  <si>
    <t>Emisión de acciones</t>
  </si>
  <si>
    <t>Posibles red flags</t>
  </si>
  <si>
    <t>Decrecimiento ventas</t>
  </si>
  <si>
    <t>Posibles "red flags" (1)</t>
  </si>
  <si>
    <t>Posibles "red flags" (2)</t>
  </si>
  <si>
    <t># de años con...</t>
  </si>
  <si>
    <t>Decrecimiento de ventas</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</si>
  <si>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</si>
  <si>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</si>
  <si>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</si>
  <si>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Posibles "Red Flags"</t>
  </si>
  <si>
    <r>
      <t xml:space="preserve">- Opcional: Para que la plantilla obtenga los datos desde </t>
    </r>
    <r>
      <rPr>
        <b/>
        <sz val="14"/>
        <color theme="3"/>
        <rFont val="Ebrima"/>
      </rPr>
      <t>TIKR</t>
    </r>
    <r>
      <rPr>
        <sz val="12"/>
        <color theme="3"/>
        <rFont val="Ebrima"/>
      </rPr>
      <t xml:space="preserve"> debes darle al botón "Copy Table" de cada estado financiero en TIKR y pegarlos en la celda A1 de las </t>
    </r>
    <r>
      <rPr>
        <b/>
        <sz val="12"/>
        <color theme="3"/>
        <rFont val="Ebrima"/>
      </rPr>
      <t>hojas 7 (IS), 8 (BS) y 9 (CF)</t>
    </r>
  </si>
  <si>
    <t>- Si no captura bien los datos, revisa que el separador decimal de tu aplicación de hoja de cálculo coincida con TIKR. También puedes probar a  ocultar los decimales en TIKR ("Decimals to display" =&gt;  0) y pegar de nuevo los datos</t>
  </si>
  <si>
    <t>Margen FFO</t>
  </si>
  <si>
    <t xml:space="preserve">    FFO margin %</t>
  </si>
  <si>
    <t>Adjusted Funds From Operations (AFFO)</t>
  </si>
  <si>
    <t xml:space="preserve">    AFFO margin %</t>
  </si>
  <si>
    <t>AFFO negativo</t>
  </si>
  <si>
    <t>Decrecimiento margen FFO</t>
  </si>
  <si>
    <t>Decrecimiento de margen FFO</t>
  </si>
  <si>
    <t xml:space="preserve">    EBITDA margin %</t>
  </si>
  <si>
    <t>P / FFO</t>
  </si>
  <si>
    <t>P / AFFO</t>
  </si>
  <si>
    <t>Funds From Operations</t>
  </si>
  <si>
    <t>AFFO</t>
  </si>
  <si>
    <t xml:space="preserve">    CapEx / Ventas %</t>
  </si>
  <si>
    <t>Ratio Deuda Neta / EBITDA elevado (&gt;5x)</t>
  </si>
  <si>
    <t>CapEx Mtto. / Ventas %</t>
  </si>
  <si>
    <t>Ratio de rentabilidad</t>
  </si>
  <si>
    <r>
      <t xml:space="preserve">CapEx Mantenimiento - en </t>
    </r>
    <r>
      <rPr>
        <sz val="12"/>
        <color rgb="FFFF0000"/>
        <rFont val="Ebrima"/>
      </rPr>
      <t xml:space="preserve">negativo </t>
    </r>
    <r>
      <rPr>
        <sz val="12"/>
        <color theme="3"/>
        <rFont val="Ebrima"/>
      </rPr>
      <t>**</t>
    </r>
  </si>
  <si>
    <t>Funds From Operations (FFO) *</t>
  </si>
  <si>
    <t>Pagos en acciones</t>
  </si>
  <si>
    <t xml:space="preserve">    Net margin %</t>
  </si>
  <si>
    <t>Net Income after dividends</t>
  </si>
  <si>
    <r>
      <t>- Hoja 3</t>
    </r>
    <r>
      <rPr>
        <b/>
        <sz val="12"/>
        <color theme="3"/>
        <rFont val="Ebrima"/>
      </rPr>
      <t>.ROIC</t>
    </r>
    <r>
      <rPr>
        <sz val="12"/>
        <color theme="3"/>
        <rFont val="Ebrima"/>
      </rPr>
      <t>: ajuste de las estimaciones a futuro del Equity. Ahora tendrá en cuenta las recompras, emisiones de acciones y los dividendos</t>
    </r>
  </si>
  <si>
    <r>
      <t>- Hoja 3.</t>
    </r>
    <r>
      <rPr>
        <b/>
        <sz val="12"/>
        <color theme="3"/>
        <rFont val="Ebrima"/>
      </rPr>
      <t>ROIC</t>
    </r>
    <r>
      <rPr>
        <sz val="12"/>
        <color theme="3"/>
        <rFont val="Ebrima"/>
      </rPr>
      <t>: Cálculo del ROIC "adaptado" para REITs, usando el AFFO en el denominador en lugar de EBIT * (1 - T)</t>
    </r>
  </si>
  <si>
    <t>Novedades plantilla REITs v2024.1</t>
  </si>
  <si>
    <t>Precio de compra para obtener un retorno anual &gt;=15%</t>
  </si>
  <si>
    <t>- Nueva plantilla de valoración adaptada para REITs</t>
  </si>
  <si>
    <r>
      <t>- Hoja 1</t>
    </r>
    <r>
      <rPr>
        <b/>
        <sz val="12"/>
        <color theme="3"/>
        <rFont val="Ebrima"/>
      </rPr>
      <t>.IS</t>
    </r>
    <r>
      <rPr>
        <sz val="12"/>
        <color theme="3"/>
        <rFont val="Ebrima"/>
      </rPr>
      <t>: P&amp;L adaptada para REITs</t>
    </r>
  </si>
  <si>
    <r>
      <t>- Hoja 4</t>
    </r>
    <r>
      <rPr>
        <b/>
        <sz val="12"/>
        <color theme="3"/>
        <rFont val="Ebrima"/>
      </rPr>
      <t>.Valoración</t>
    </r>
    <r>
      <rPr>
        <sz val="12"/>
        <color theme="3"/>
        <rFont val="Ebrima"/>
      </rPr>
      <t>: adaptada para REITs: cálculo de valor intrínseco a partir de los múltiplos P/FFO y P/AFFO</t>
    </r>
  </si>
  <si>
    <r>
      <t xml:space="preserve">* TIKR no muestra el </t>
    </r>
    <r>
      <rPr>
        <b/>
        <sz val="14"/>
        <color theme="1"/>
        <rFont val="Ebrima"/>
      </rPr>
      <t>FFO</t>
    </r>
    <r>
      <rPr>
        <sz val="14"/>
        <color theme="1"/>
        <rFont val="Ebrima"/>
      </rPr>
      <t xml:space="preserve"> en la cuenta gratuita ni en la PLUS, solo aparece en la PRO (la más cara). La mayoría de REITs detallan el FFO en su informe anual, pero NO es obligatorio, ya que es una métrica "Non-GAAP".</t>
    </r>
  </si>
  <si>
    <r>
      <t xml:space="preserve">** Cuidado con el </t>
    </r>
    <r>
      <rPr>
        <b/>
        <sz val="14"/>
        <color theme="1"/>
        <rFont val="Ebrima"/>
      </rPr>
      <t>CapEx de mantenimiento</t>
    </r>
    <r>
      <rPr>
        <sz val="14"/>
        <color theme="1"/>
        <rFont val="Ebrima"/>
      </rPr>
      <t xml:space="preserve">. 
     La depreciación está inflada en algunos REITs. Debemos ajustarla manualmente con el CapEx de mantenimiento que nos facilite la empresa en su informe anual. 
        Ejemplo real con Realty Income (NYSE:O) en el año fiscal 2023: 
        Depreciation </t>
    </r>
    <r>
      <rPr>
        <u/>
        <sz val="14"/>
        <color theme="1"/>
        <rFont val="Ebrima"/>
      </rPr>
      <t>1.244m</t>
    </r>
    <r>
      <rPr>
        <sz val="14"/>
        <color theme="1"/>
        <rFont val="Ebrima"/>
      </rPr>
      <t xml:space="preserve"> vs "Recurring Capital Expenditure" de </t>
    </r>
    <r>
      <rPr>
        <u/>
        <sz val="14"/>
        <color theme="1"/>
        <rFont val="Ebrima"/>
      </rPr>
      <t>331m</t>
    </r>
    <r>
      <rPr>
        <sz val="14"/>
        <color theme="1"/>
        <rFont val="Ebrima"/>
      </rPr>
      <t>. Es una partida "inventada" por la directiva ("Non-GAAP"). Por tanto, NO aparece en los Financials de TIKR</t>
    </r>
  </si>
  <si>
    <r>
      <t xml:space="preserve">- Modifica solo las celdas con fondo </t>
    </r>
    <r>
      <rPr>
        <b/>
        <sz val="14"/>
        <color theme="3"/>
        <rFont val="Ebrima"/>
      </rPr>
      <t>AZUL FLOJO</t>
    </r>
    <r>
      <rPr>
        <sz val="12"/>
        <color theme="3"/>
        <rFont val="Ebrima"/>
      </rP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y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</si>
</sst>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2]\ * #,##0_-;\-[$€-2]\ * #,##0_-;_-[$€-2]\ * &quot;-&quot;??_-;_-@_-"/>
    <numFmt numFmtId="166" formatCode="#,##0.0"/>
    <numFmt numFmtId="167" formatCode="#,##0;[Red]\(#,##0\)"/>
    <numFmt numFmtId="168" formatCode="0.0%"/>
    <numFmt numFmtId="169" formatCode="#,##0.0;\(#,##0.0\)"/>
  </numFmts>
  <fonts count="32" x14ac:knownFonts="1">
    <font>
      <sz val="11"/>
      <color theme="1"/>
      <name val="Calibri"/>
      <family val="2"/>
      <scheme val="minor"/>
    </font>
    <font>
      <sz val="11"/>
      <color theme="1"/>
      <name val="Calibri"/>
      <family val="2"/>
      <scheme val="minor"/>
    </font>
    <font>
      <b/>
      <sz val="18"/>
      <color rgb="FF000000"/>
      <name val="Calibri"/>
      <family val="2"/>
    </font>
    <font>
      <sz val="9"/>
      <color rgb="FF000000"/>
      <name val="Calibri"/>
      <family val="2"/>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u/>
      <sz val="12"/>
      <color theme="9" tint="-0.249977111117893"/>
      <name val="Ebrima"/>
    </font>
    <font>
      <b/>
      <sz val="11"/>
      <color theme="1"/>
      <name val="Calibri"/>
      <family val="2"/>
      <scheme val="minor"/>
    </font>
    <font>
      <sz val="14"/>
      <color rgb="FF000000"/>
      <name val="Calibri"/>
      <family val="2"/>
    </font>
    <font>
      <sz val="12"/>
      <color rgb="FFFF0000"/>
      <name val="Ebrima"/>
    </font>
    <font>
      <b/>
      <sz val="16"/>
      <color theme="0"/>
      <name val="Ebrima"/>
    </font>
    <font>
      <b/>
      <sz val="12"/>
      <color theme="9" tint="-0.249977111117893"/>
      <name val="Calibri"/>
      <family val="2"/>
      <scheme val="minor"/>
    </font>
    <font>
      <sz val="11"/>
      <name val="Calibri"/>
      <family val="2"/>
      <scheme val="minor"/>
    </font>
    <font>
      <sz val="14"/>
      <color theme="1"/>
      <name val="Ebrima"/>
    </font>
    <font>
      <b/>
      <sz val="14"/>
      <color theme="1"/>
      <name val="Ebrima"/>
    </font>
    <font>
      <u/>
      <sz val="12"/>
      <color theme="9" tint="-0.249977111117893"/>
      <name val="Ebrima"/>
    </font>
    <font>
      <u/>
      <sz val="14"/>
      <color theme="1"/>
      <name val="Ebrima"/>
    </font>
  </fonts>
  <fills count="13">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s>
  <borders count="45">
    <border>
      <left/>
      <right/>
      <top/>
      <bottom/>
      <diagonal/>
    </border>
    <border>
      <left/>
      <right/>
      <top style="thin">
        <color theme="4"/>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top/>
      <bottom style="thin">
        <color theme="3"/>
      </bottom>
      <diagonal/>
    </border>
    <border>
      <left/>
      <right style="thin">
        <color theme="4"/>
      </right>
      <top/>
      <bottom/>
      <diagonal/>
    </border>
    <border>
      <left style="thin">
        <color theme="3"/>
      </left>
      <right style="thin">
        <color theme="3"/>
      </right>
      <top style="thin">
        <color theme="3"/>
      </top>
      <bottom style="thin">
        <color theme="3"/>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style="thin">
        <color theme="3"/>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style="thick">
        <color theme="9" tint="-0.24994659260841701"/>
      </top>
      <bottom style="thin">
        <color theme="3"/>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style="thick">
        <color theme="9" tint="-0.24994659260841701"/>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style="thick">
        <color theme="9" tint="-0.24994659260841701"/>
      </right>
      <top/>
      <bottom style="thin">
        <color theme="4"/>
      </bottom>
      <diagonal/>
    </border>
  </borders>
  <cellStyleXfs count="2">
    <xf numFmtId="0" fontId="0" fillId="0" borderId="0"/>
    <xf numFmtId="9" fontId="1" fillId="0" borderId="0" applyFont="0" applyFill="0" applyBorder="0" applyAlignment="0" applyProtection="0"/>
  </cellStyleXfs>
  <cellXfs count="254">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vertical="center"/>
    </xf>
    <xf numFmtId="0" fontId="7" fillId="0" borderId="0" xfId="0" applyFont="1" applyAlignment="1">
      <alignment horizontal="center" vertical="center"/>
    </xf>
    <xf numFmtId="0" fontId="8" fillId="5" borderId="0" xfId="0" applyFont="1" applyFill="1" applyAlignment="1">
      <alignment horizontal="center" vertical="center"/>
    </xf>
    <xf numFmtId="3" fontId="9" fillId="2" borderId="0" xfId="0" applyNumberFormat="1" applyFont="1" applyFill="1" applyAlignment="1">
      <alignment horizontal="center" vertical="center"/>
    </xf>
    <xf numFmtId="9" fontId="10" fillId="2" borderId="0" xfId="1" applyFont="1" applyFill="1" applyBorder="1" applyAlignment="1">
      <alignment horizontal="center" vertical="center"/>
    </xf>
    <xf numFmtId="3" fontId="10" fillId="2" borderId="0" xfId="0" applyNumberFormat="1" applyFont="1" applyFill="1" applyAlignment="1">
      <alignment horizontal="center" vertical="center"/>
    </xf>
    <xf numFmtId="0" fontId="10" fillId="0" borderId="0" xfId="0" applyFont="1" applyAlignment="1">
      <alignment horizontal="center" vertical="center"/>
    </xf>
    <xf numFmtId="4" fontId="10" fillId="0" borderId="0" xfId="0" applyNumberFormat="1" applyFont="1" applyAlignment="1">
      <alignment horizontal="center" vertical="center"/>
    </xf>
    <xf numFmtId="3" fontId="10" fillId="6" borderId="0" xfId="0" applyNumberFormat="1" applyFont="1" applyFill="1" applyAlignment="1">
      <alignment horizontal="center" vertical="center"/>
    </xf>
    <xf numFmtId="0" fontId="8" fillId="2" borderId="0" xfId="0" applyFont="1" applyFill="1" applyAlignment="1">
      <alignment horizontal="center" vertical="center"/>
    </xf>
    <xf numFmtId="0" fontId="11" fillId="0" borderId="0" xfId="0" applyFont="1" applyAlignment="1">
      <alignment horizontal="left" vertical="center"/>
    </xf>
    <xf numFmtId="0" fontId="10" fillId="0" borderId="0" xfId="0" applyFont="1" applyAlignment="1">
      <alignment horizontal="left" vertical="center" indent="1"/>
    </xf>
    <xf numFmtId="0" fontId="0" fillId="0" borderId="0" xfId="0" applyAlignment="1">
      <alignment horizontal="left" indent="1"/>
    </xf>
    <xf numFmtId="0" fontId="7" fillId="0" borderId="0" xfId="0" applyFont="1" applyAlignment="1">
      <alignment horizontal="left" indent="1"/>
    </xf>
    <xf numFmtId="0" fontId="7" fillId="2" borderId="0" xfId="0" applyFont="1" applyFill="1" applyAlignment="1">
      <alignment horizontal="center"/>
    </xf>
    <xf numFmtId="9" fontId="10" fillId="0" borderId="0" xfId="1"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horizontal="left" vertical="center" indent="1"/>
    </xf>
    <xf numFmtId="3" fontId="10" fillId="2" borderId="0" xfId="1" applyNumberFormat="1" applyFont="1" applyFill="1" applyBorder="1" applyAlignment="1">
      <alignment horizontal="center" vertical="center"/>
    </xf>
    <xf numFmtId="4" fontId="13" fillId="0" borderId="0" xfId="1" applyNumberFormat="1" applyFont="1" applyFill="1" applyBorder="1" applyAlignment="1">
      <alignment horizontal="center" vertical="center"/>
    </xf>
    <xf numFmtId="0" fontId="7" fillId="2" borderId="0" xfId="0" applyFont="1" applyFill="1" applyAlignment="1">
      <alignment vertical="center"/>
    </xf>
    <xf numFmtId="2" fontId="14" fillId="2" borderId="0" xfId="0" applyNumberFormat="1" applyFont="1" applyFill="1" applyAlignment="1">
      <alignment vertical="center"/>
    </xf>
    <xf numFmtId="0" fontId="7" fillId="2" borderId="0" xfId="0" applyFont="1" applyFill="1" applyAlignment="1">
      <alignment horizontal="center" vertical="center" wrapText="1"/>
    </xf>
    <xf numFmtId="0" fontId="12" fillId="2" borderId="0" xfId="0" applyFont="1" applyFill="1" applyAlignment="1">
      <alignment vertical="center"/>
    </xf>
    <xf numFmtId="1" fontId="14" fillId="2" borderId="0" xfId="0" applyNumberFormat="1" applyFont="1" applyFill="1" applyAlignment="1">
      <alignment horizontal="center" vertical="center"/>
    </xf>
    <xf numFmtId="0" fontId="7" fillId="2" borderId="0" xfId="0" applyFont="1" applyFill="1" applyAlignment="1">
      <alignment horizontal="left" vertical="center"/>
    </xf>
    <xf numFmtId="2" fontId="12" fillId="2" borderId="0" xfId="0" applyNumberFormat="1" applyFont="1" applyFill="1" applyAlignment="1">
      <alignment horizontal="center" vertical="center" wrapText="1"/>
    </xf>
    <xf numFmtId="0" fontId="12" fillId="2" borderId="0" xfId="0" applyFont="1" applyFill="1" applyAlignment="1">
      <alignment horizontal="left" vertical="center"/>
    </xf>
    <xf numFmtId="1" fontId="12" fillId="2" borderId="0" xfId="0" applyNumberFormat="1" applyFont="1" applyFill="1" applyAlignment="1">
      <alignment horizontal="center" vertical="center" wrapText="1"/>
    </xf>
    <xf numFmtId="165" fontId="15" fillId="2" borderId="0" xfId="0" applyNumberFormat="1" applyFont="1" applyFill="1" applyAlignment="1">
      <alignment horizontal="center" vertical="center" wrapText="1"/>
    </xf>
    <xf numFmtId="0" fontId="8" fillId="4" borderId="1" xfId="0" applyFont="1" applyFill="1" applyBorder="1" applyAlignment="1">
      <alignment horizontal="left" vertical="center"/>
    </xf>
    <xf numFmtId="0" fontId="8" fillId="4" borderId="0" xfId="0" applyFont="1" applyFill="1" applyAlignment="1">
      <alignment horizontal="left" vertical="center"/>
    </xf>
    <xf numFmtId="2" fontId="10" fillId="2" borderId="0" xfId="0" applyNumberFormat="1" applyFont="1" applyFill="1" applyAlignment="1">
      <alignment horizontal="left" vertical="center" indent="2"/>
    </xf>
    <xf numFmtId="1" fontId="10" fillId="2" borderId="0" xfId="0" applyNumberFormat="1" applyFont="1" applyFill="1" applyAlignment="1">
      <alignment horizontal="left" vertical="center"/>
    </xf>
    <xf numFmtId="1" fontId="9" fillId="2" borderId="0" xfId="0" applyNumberFormat="1" applyFont="1" applyFill="1" applyAlignment="1">
      <alignment horizontal="left" vertical="center"/>
    </xf>
    <xf numFmtId="2" fontId="10" fillId="2" borderId="0" xfId="0" applyNumberFormat="1" applyFont="1" applyFill="1" applyAlignment="1">
      <alignment horizontal="left" vertical="center" wrapText="1"/>
    </xf>
    <xf numFmtId="2" fontId="9" fillId="2" borderId="0" xfId="0" applyNumberFormat="1" applyFont="1" applyFill="1" applyAlignment="1">
      <alignment horizontal="left" vertical="center" wrapText="1"/>
    </xf>
    <xf numFmtId="9" fontId="10" fillId="2" borderId="0" xfId="1" applyFont="1" applyFill="1" applyBorder="1" applyAlignment="1">
      <alignment horizontal="left" vertical="center" wrapText="1"/>
    </xf>
    <xf numFmtId="0" fontId="10" fillId="2" borderId="0" xfId="0" applyFont="1" applyFill="1" applyAlignment="1">
      <alignment horizontal="left" vertical="center" wrapText="1"/>
    </xf>
    <xf numFmtId="9" fontId="9" fillId="2" borderId="0" xfId="1" applyFont="1" applyFill="1" applyBorder="1" applyAlignment="1">
      <alignment horizontal="left" vertical="center" wrapText="1"/>
    </xf>
    <xf numFmtId="2" fontId="9" fillId="2" borderId="0" xfId="0" applyNumberFormat="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10" fillId="0" borderId="0" xfId="0" applyFont="1" applyAlignment="1">
      <alignment vertical="center"/>
    </xf>
    <xf numFmtId="0" fontId="10" fillId="0" borderId="0" xfId="0" applyFont="1" applyAlignment="1">
      <alignment horizontal="left" vertical="center"/>
    </xf>
    <xf numFmtId="0" fontId="7" fillId="2" borderId="0" xfId="0" applyFont="1" applyFill="1" applyAlignment="1">
      <alignment horizontal="left" vertical="center" indent="1"/>
    </xf>
    <xf numFmtId="0" fontId="10" fillId="0" borderId="0" xfId="0" quotePrefix="1" applyFont="1" applyAlignment="1">
      <alignment horizontal="left" indent="1"/>
    </xf>
    <xf numFmtId="0" fontId="8" fillId="4" borderId="0" xfId="0" applyFont="1" applyFill="1" applyAlignment="1">
      <alignment horizontal="center" vertical="center"/>
    </xf>
    <xf numFmtId="3" fontId="9" fillId="6" borderId="0" xfId="0" applyNumberFormat="1" applyFont="1" applyFill="1" applyAlignment="1">
      <alignment horizontal="center" vertical="center"/>
    </xf>
    <xf numFmtId="9" fontId="16" fillId="2" borderId="0" xfId="1" applyFont="1" applyFill="1" applyBorder="1" applyAlignment="1">
      <alignment horizontal="center" vertical="center"/>
    </xf>
    <xf numFmtId="9" fontId="16" fillId="7" borderId="0" xfId="1" applyFont="1" applyFill="1" applyBorder="1" applyAlignment="1">
      <alignment horizontal="center" vertical="center"/>
    </xf>
    <xf numFmtId="9" fontId="16" fillId="7" borderId="6" xfId="1" applyFont="1" applyFill="1" applyBorder="1" applyAlignment="1">
      <alignment horizontal="center" vertical="center"/>
    </xf>
    <xf numFmtId="0" fontId="8" fillId="4" borderId="9" xfId="0" applyFont="1" applyFill="1" applyBorder="1" applyAlignment="1">
      <alignment horizontal="left" vertical="center" indent="1"/>
    </xf>
    <xf numFmtId="0" fontId="8" fillId="4" borderId="10" xfId="0" applyFont="1" applyFill="1" applyBorder="1" applyAlignment="1">
      <alignment horizontal="center" vertical="center"/>
    </xf>
    <xf numFmtId="0" fontId="8" fillId="5" borderId="10" xfId="0" applyFont="1" applyFill="1" applyBorder="1" applyAlignment="1">
      <alignment horizontal="center" vertical="center"/>
    </xf>
    <xf numFmtId="0" fontId="10" fillId="0" borderId="5" xfId="0" applyFont="1" applyBorder="1" applyAlignment="1">
      <alignment horizontal="left" vertical="center" indent="1"/>
    </xf>
    <xf numFmtId="9" fontId="10" fillId="0" borderId="0" xfId="1" applyFont="1" applyFill="1" applyBorder="1" applyAlignment="1">
      <alignment horizontal="center" vertical="center"/>
    </xf>
    <xf numFmtId="0" fontId="8" fillId="5" borderId="11"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16" fillId="6" borderId="12" xfId="0" applyFont="1" applyFill="1" applyBorder="1" applyAlignment="1">
      <alignment vertical="center"/>
    </xf>
    <xf numFmtId="0" fontId="16" fillId="3" borderId="12" xfId="0" applyFont="1" applyFill="1" applyBorder="1" applyAlignment="1">
      <alignment vertical="center"/>
    </xf>
    <xf numFmtId="0" fontId="16" fillId="3" borderId="13" xfId="0" applyFont="1" applyFill="1" applyBorder="1" applyAlignment="1">
      <alignment vertical="center"/>
    </xf>
    <xf numFmtId="0" fontId="8" fillId="4" borderId="8" xfId="0" applyFont="1" applyFill="1" applyBorder="1" applyAlignment="1">
      <alignment horizontal="center" vertical="center" wrapText="1"/>
    </xf>
    <xf numFmtId="0" fontId="10" fillId="2" borderId="0" xfId="0" applyFont="1" applyFill="1" applyAlignment="1">
      <alignment horizontal="left" vertical="center" indent="1"/>
    </xf>
    <xf numFmtId="0" fontId="8" fillId="0" borderId="0" xfId="0" applyFont="1" applyAlignment="1">
      <alignment horizontal="center" vertical="center" wrapText="1"/>
    </xf>
    <xf numFmtId="164" fontId="7" fillId="0" borderId="0" xfId="0" applyNumberFormat="1" applyFont="1" applyAlignment="1">
      <alignment horizontal="center" vertical="center"/>
    </xf>
    <xf numFmtId="164" fontId="12" fillId="0" borderId="0" xfId="0" applyNumberFormat="1" applyFont="1" applyAlignment="1">
      <alignment horizontal="center" vertical="center"/>
    </xf>
    <xf numFmtId="0" fontId="9" fillId="0" borderId="0" xfId="0" applyFont="1" applyAlignment="1">
      <alignment horizontal="left" vertical="center" indent="1"/>
    </xf>
    <xf numFmtId="4" fontId="0" fillId="0" borderId="0" xfId="0" applyNumberFormat="1" applyAlignment="1">
      <alignment horizontal="center"/>
    </xf>
    <xf numFmtId="0" fontId="22" fillId="0" borderId="0" xfId="0" applyFont="1"/>
    <xf numFmtId="0" fontId="22" fillId="0" borderId="0" xfId="0" applyFont="1" applyAlignment="1">
      <alignment horizontal="center"/>
    </xf>
    <xf numFmtId="14" fontId="22" fillId="0" borderId="0" xfId="0" applyNumberFormat="1" applyFont="1" applyAlignment="1">
      <alignment horizontal="center"/>
    </xf>
    <xf numFmtId="0" fontId="22" fillId="8" borderId="0" xfId="0" applyFont="1" applyFill="1"/>
    <xf numFmtId="0" fontId="22" fillId="0" borderId="0" xfId="0" applyFont="1" applyProtection="1">
      <protection locked="0"/>
    </xf>
    <xf numFmtId="0" fontId="22" fillId="0" borderId="0" xfId="0" applyFont="1" applyAlignment="1" applyProtection="1">
      <alignment horizontal="center"/>
      <protection locked="0"/>
    </xf>
    <xf numFmtId="14" fontId="22"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9" fillId="2" borderId="0" xfId="0" applyNumberFormat="1" applyFont="1" applyFill="1" applyAlignment="1">
      <alignment horizontal="center" vertical="center"/>
    </xf>
    <xf numFmtId="167" fontId="10" fillId="6" borderId="0" xfId="0" applyNumberFormat="1" applyFont="1" applyFill="1" applyAlignment="1">
      <alignment horizontal="center" vertical="center"/>
    </xf>
    <xf numFmtId="167" fontId="10" fillId="2" borderId="0" xfId="0" applyNumberFormat="1" applyFont="1" applyFill="1" applyAlignment="1">
      <alignment horizontal="center" vertical="center"/>
    </xf>
    <xf numFmtId="167" fontId="9" fillId="6" borderId="0" xfId="0" applyNumberFormat="1" applyFont="1" applyFill="1" applyAlignment="1">
      <alignment horizontal="center" vertical="center"/>
    </xf>
    <xf numFmtId="167" fontId="10" fillId="0" borderId="0" xfId="0" applyNumberFormat="1" applyFont="1" applyAlignment="1">
      <alignment horizontal="center" vertical="center"/>
    </xf>
    <xf numFmtId="167" fontId="10" fillId="2" borderId="0" xfId="1" applyNumberFormat="1" applyFont="1" applyFill="1" applyBorder="1" applyAlignment="1">
      <alignment horizontal="center" vertical="center"/>
    </xf>
    <xf numFmtId="164" fontId="10" fillId="0" borderId="0" xfId="1" applyNumberFormat="1" applyFont="1" applyBorder="1" applyAlignment="1">
      <alignment horizontal="center" vertical="center"/>
    </xf>
    <xf numFmtId="0" fontId="10" fillId="0" borderId="0" xfId="0" quotePrefix="1" applyFont="1" applyAlignment="1">
      <alignment horizontal="left" vertical="center" indent="1"/>
    </xf>
    <xf numFmtId="0" fontId="10" fillId="0" borderId="0" xfId="0" quotePrefix="1" applyFont="1" applyAlignment="1">
      <alignment horizontal="left" vertical="center" indent="3"/>
    </xf>
    <xf numFmtId="9" fontId="9" fillId="2" borderId="0" xfId="1" applyFont="1" applyFill="1" applyBorder="1" applyAlignment="1">
      <alignment horizontal="center" vertical="center"/>
    </xf>
    <xf numFmtId="164" fontId="10" fillId="0" borderId="0" xfId="1" applyNumberFormat="1" applyFont="1" applyFill="1" applyBorder="1" applyAlignment="1">
      <alignment horizontal="center" vertical="center"/>
    </xf>
    <xf numFmtId="0" fontId="8" fillId="4" borderId="0" xfId="0" applyFont="1" applyFill="1" applyAlignment="1">
      <alignment horizontal="left" vertical="center" indent="1"/>
    </xf>
    <xf numFmtId="0" fontId="10" fillId="6" borderId="5" xfId="0" applyFont="1" applyFill="1" applyBorder="1" applyAlignment="1">
      <alignment horizontal="left" vertical="center" indent="3"/>
    </xf>
    <xf numFmtId="3" fontId="9" fillId="6" borderId="3" xfId="0" applyNumberFormat="1" applyFont="1" applyFill="1" applyBorder="1" applyAlignment="1">
      <alignment horizontal="center" vertical="center"/>
    </xf>
    <xf numFmtId="9" fontId="10" fillId="2" borderId="3" xfId="1" applyFont="1" applyFill="1" applyBorder="1" applyAlignment="1">
      <alignment horizontal="center" vertical="center"/>
    </xf>
    <xf numFmtId="167" fontId="9" fillId="2" borderId="3" xfId="0" applyNumberFormat="1" applyFont="1" applyFill="1" applyBorder="1" applyAlignment="1">
      <alignment horizontal="center" vertical="center"/>
    </xf>
    <xf numFmtId="167" fontId="10" fillId="6" borderId="3" xfId="0" applyNumberFormat="1" applyFont="1" applyFill="1" applyBorder="1" applyAlignment="1">
      <alignment horizontal="center" vertical="center"/>
    </xf>
    <xf numFmtId="167" fontId="9" fillId="6" borderId="3" xfId="0" applyNumberFormat="1" applyFont="1" applyFill="1" applyBorder="1" applyAlignment="1">
      <alignment horizontal="center" vertical="center"/>
    </xf>
    <xf numFmtId="167" fontId="10" fillId="2" borderId="3" xfId="0" applyNumberFormat="1" applyFont="1" applyFill="1" applyBorder="1" applyAlignment="1">
      <alignment horizontal="center" vertical="center"/>
    </xf>
    <xf numFmtId="3" fontId="10" fillId="6" borderId="3" xfId="0" applyNumberFormat="1" applyFont="1" applyFill="1" applyBorder="1" applyAlignment="1">
      <alignment horizontal="center" vertical="center"/>
    </xf>
    <xf numFmtId="0" fontId="9" fillId="6" borderId="0" xfId="0" applyFont="1" applyFill="1" applyAlignment="1">
      <alignment horizontal="left" vertical="center" indent="1"/>
    </xf>
    <xf numFmtId="3" fontId="9" fillId="2" borderId="7" xfId="0" applyNumberFormat="1" applyFont="1" applyFill="1" applyBorder="1" applyAlignment="1">
      <alignment horizontal="center" vertical="center"/>
    </xf>
    <xf numFmtId="9" fontId="10" fillId="2" borderId="7" xfId="1" applyFont="1" applyFill="1" applyBorder="1" applyAlignment="1">
      <alignment horizontal="center" vertical="center"/>
    </xf>
    <xf numFmtId="167" fontId="9" fillId="2" borderId="7" xfId="0" applyNumberFormat="1" applyFont="1" applyFill="1" applyBorder="1" applyAlignment="1">
      <alignment horizontal="center" vertical="center"/>
    </xf>
    <xf numFmtId="0" fontId="10" fillId="6" borderId="0" xfId="0" applyFont="1" applyFill="1" applyAlignment="1">
      <alignment horizontal="left" vertical="center" indent="1"/>
    </xf>
    <xf numFmtId="167" fontId="10" fillId="2" borderId="7" xfId="0" applyNumberFormat="1" applyFont="1" applyFill="1" applyBorder="1" applyAlignment="1">
      <alignment horizontal="center" vertical="center"/>
    </xf>
    <xf numFmtId="3" fontId="10" fillId="2" borderId="7" xfId="0" applyNumberFormat="1" applyFont="1" applyFill="1" applyBorder="1" applyAlignment="1">
      <alignment horizontal="center" vertical="center"/>
    </xf>
    <xf numFmtId="167" fontId="10" fillId="0" borderId="3" xfId="0" applyNumberFormat="1" applyFont="1" applyBorder="1" applyAlignment="1">
      <alignment horizontal="center" vertical="center"/>
    </xf>
    <xf numFmtId="9" fontId="10" fillId="0" borderId="3" xfId="1" applyFont="1" applyBorder="1" applyAlignment="1">
      <alignment horizontal="center" vertical="center"/>
    </xf>
    <xf numFmtId="9" fontId="10" fillId="0" borderId="7" xfId="1" applyFont="1" applyBorder="1" applyAlignment="1">
      <alignment horizontal="center" vertical="center"/>
    </xf>
    <xf numFmtId="0" fontId="10" fillId="0" borderId="16" xfId="0" applyFont="1" applyBorder="1" applyAlignment="1">
      <alignment horizontal="left" vertical="center" indent="1"/>
    </xf>
    <xf numFmtId="167" fontId="10" fillId="0" borderId="2" xfId="0" applyNumberFormat="1" applyFont="1" applyBorder="1" applyAlignment="1">
      <alignment horizontal="center" vertical="center"/>
    </xf>
    <xf numFmtId="167" fontId="10" fillId="2" borderId="2" xfId="0" applyNumberFormat="1" applyFont="1" applyFill="1" applyBorder="1" applyAlignment="1">
      <alignment horizontal="center" vertical="center"/>
    </xf>
    <xf numFmtId="167" fontId="10" fillId="2" borderId="17" xfId="0" applyNumberFormat="1" applyFont="1" applyFill="1" applyBorder="1" applyAlignment="1">
      <alignment horizontal="center" vertical="center"/>
    </xf>
    <xf numFmtId="9" fontId="10" fillId="0" borderId="2" xfId="1" applyFont="1" applyBorder="1" applyAlignment="1">
      <alignment horizontal="center" vertical="center"/>
    </xf>
    <xf numFmtId="167" fontId="10" fillId="2" borderId="4" xfId="0" applyNumberFormat="1" applyFont="1" applyFill="1" applyBorder="1" applyAlignment="1">
      <alignment horizontal="center" vertical="center"/>
    </xf>
    <xf numFmtId="167" fontId="10" fillId="0" borderId="4" xfId="0" applyNumberFormat="1" applyFont="1" applyBorder="1" applyAlignment="1">
      <alignment horizontal="center" vertical="center"/>
    </xf>
    <xf numFmtId="9" fontId="10" fillId="0" borderId="4" xfId="1" applyFont="1" applyBorder="1" applyAlignment="1">
      <alignment horizontal="center" vertical="center"/>
    </xf>
    <xf numFmtId="0" fontId="10" fillId="0" borderId="0" xfId="0" applyFont="1"/>
    <xf numFmtId="0" fontId="8" fillId="4" borderId="0" xfId="0" applyFont="1" applyFill="1" applyAlignment="1">
      <alignment horizontal="center" vertical="center" wrapText="1"/>
    </xf>
    <xf numFmtId="0" fontId="8" fillId="4" borderId="0" xfId="0" applyFont="1" applyFill="1" applyAlignment="1">
      <alignment horizontal="left" vertical="center" wrapText="1" indent="1"/>
    </xf>
    <xf numFmtId="0" fontId="10" fillId="2" borderId="16" xfId="0" applyFont="1" applyFill="1" applyBorder="1" applyAlignment="1">
      <alignment horizontal="left" vertical="center" indent="1"/>
    </xf>
    <xf numFmtId="164" fontId="10" fillId="0" borderId="3" xfId="1" applyNumberFormat="1" applyFont="1" applyBorder="1" applyAlignment="1">
      <alignment horizontal="center" vertical="center"/>
    </xf>
    <xf numFmtId="167" fontId="10" fillId="0" borderId="17" xfId="0" applyNumberFormat="1" applyFont="1" applyBorder="1" applyAlignment="1">
      <alignment horizontal="center" vertical="center"/>
    </xf>
    <xf numFmtId="9" fontId="10" fillId="0" borderId="18" xfId="1" applyFont="1" applyBorder="1" applyAlignment="1">
      <alignment horizontal="center" vertical="center"/>
    </xf>
    <xf numFmtId="166" fontId="10" fillId="0" borderId="0" xfId="0" applyNumberFormat="1" applyFont="1" applyAlignment="1">
      <alignment horizontal="center" vertical="center"/>
    </xf>
    <xf numFmtId="9" fontId="0" fillId="0" borderId="0" xfId="1" applyFont="1" applyAlignment="1">
      <alignment horizontal="center"/>
    </xf>
    <xf numFmtId="0" fontId="18" fillId="8" borderId="2" xfId="0" applyFont="1" applyFill="1" applyBorder="1" applyAlignment="1">
      <alignment horizontal="left" vertical="center" indent="2"/>
    </xf>
    <xf numFmtId="9" fontId="18" fillId="0" borderId="19" xfId="1" applyFont="1" applyBorder="1" applyAlignment="1">
      <alignment horizontal="center" vertical="center"/>
    </xf>
    <xf numFmtId="9" fontId="9" fillId="0" borderId="0" xfId="1" applyFont="1" applyBorder="1" applyAlignment="1">
      <alignment horizontal="center" vertical="center"/>
    </xf>
    <xf numFmtId="9" fontId="7" fillId="0" borderId="0" xfId="0" applyNumberFormat="1" applyFont="1" applyAlignment="1">
      <alignment horizontal="center"/>
    </xf>
    <xf numFmtId="168" fontId="7" fillId="0" borderId="0" xfId="0" applyNumberFormat="1" applyFont="1" applyAlignment="1">
      <alignment horizontal="center"/>
    </xf>
    <xf numFmtId="0" fontId="0" fillId="0" borderId="0" xfId="0" applyAlignment="1">
      <alignment horizontal="left" vertical="center"/>
    </xf>
    <xf numFmtId="0" fontId="9" fillId="2" borderId="0" xfId="0" applyFont="1" applyFill="1" applyAlignment="1">
      <alignment horizontal="left" vertical="center" indent="3"/>
    </xf>
    <xf numFmtId="0" fontId="18" fillId="8" borderId="0" xfId="0" applyFont="1" applyFill="1" applyAlignment="1">
      <alignment horizontal="left" vertical="center" indent="2"/>
    </xf>
    <xf numFmtId="4" fontId="18" fillId="8" borderId="0" xfId="0" applyNumberFormat="1" applyFont="1" applyFill="1" applyAlignment="1">
      <alignment horizontal="center" vertical="center"/>
    </xf>
    <xf numFmtId="9" fontId="18" fillId="8" borderId="2" xfId="1" applyFont="1" applyFill="1" applyBorder="1" applyAlignment="1">
      <alignment horizontal="center" vertical="center"/>
    </xf>
    <xf numFmtId="0" fontId="25" fillId="4" borderId="1" xfId="0" applyFont="1" applyFill="1" applyBorder="1" applyAlignment="1">
      <alignment horizontal="left" vertical="center" indent="1"/>
    </xf>
    <xf numFmtId="2" fontId="10" fillId="6" borderId="0" xfId="0" applyNumberFormat="1" applyFont="1" applyFill="1" applyAlignment="1">
      <alignment horizontal="left" vertical="center" indent="2"/>
    </xf>
    <xf numFmtId="2" fontId="10" fillId="6" borderId="0" xfId="0" applyNumberFormat="1" applyFont="1" applyFill="1" applyAlignment="1">
      <alignment horizontal="left" vertical="center" wrapText="1"/>
    </xf>
    <xf numFmtId="1" fontId="10" fillId="6" borderId="0" xfId="0" applyNumberFormat="1" applyFont="1" applyFill="1" applyAlignment="1">
      <alignment horizontal="left" vertical="center"/>
    </xf>
    <xf numFmtId="1" fontId="9" fillId="6" borderId="0" xfId="0" applyNumberFormat="1" applyFont="1" applyFill="1" applyAlignment="1">
      <alignment horizontal="left" vertical="center"/>
    </xf>
    <xf numFmtId="9" fontId="10" fillId="6" borderId="0" xfId="1" applyFont="1" applyFill="1" applyBorder="1" applyAlignment="1">
      <alignment horizontal="left" vertical="center" wrapText="1"/>
    </xf>
    <xf numFmtId="0" fontId="10" fillId="6" borderId="0" xfId="0" applyFont="1" applyFill="1" applyAlignment="1">
      <alignment horizontal="left" vertical="center" wrapText="1"/>
    </xf>
    <xf numFmtId="0" fontId="0" fillId="0" borderId="0" xfId="0" applyAlignment="1">
      <alignment horizontal="left" vertical="center" indent="3"/>
    </xf>
    <xf numFmtId="4" fontId="13" fillId="6" borderId="23" xfId="1" applyNumberFormat="1" applyFont="1" applyFill="1" applyBorder="1" applyAlignment="1">
      <alignment horizontal="center" vertical="center"/>
    </xf>
    <xf numFmtId="0" fontId="8" fillId="5" borderId="24" xfId="0" applyFont="1" applyFill="1" applyBorder="1" applyAlignment="1">
      <alignment horizontal="center" vertical="center" wrapText="1"/>
    </xf>
    <xf numFmtId="9" fontId="13" fillId="6" borderId="25" xfId="1" applyFont="1" applyFill="1" applyBorder="1" applyAlignment="1">
      <alignment horizontal="center" vertical="center"/>
    </xf>
    <xf numFmtId="9" fontId="13" fillId="3" borderId="26" xfId="1" applyFont="1" applyFill="1" applyBorder="1" applyAlignment="1">
      <alignment horizontal="center" vertical="center"/>
    </xf>
    <xf numFmtId="0" fontId="8" fillId="5" borderId="30" xfId="0" applyFont="1" applyFill="1" applyBorder="1" applyAlignment="1">
      <alignment horizontal="center" vertical="center" wrapText="1"/>
    </xf>
    <xf numFmtId="166" fontId="21" fillId="6" borderId="25" xfId="1" applyNumberFormat="1" applyFont="1" applyFill="1" applyBorder="1" applyAlignment="1">
      <alignment horizontal="center" vertical="center"/>
    </xf>
    <xf numFmtId="169" fontId="13" fillId="9" borderId="27" xfId="0" applyNumberFormat="1" applyFont="1" applyFill="1" applyBorder="1" applyAlignment="1">
      <alignment horizontal="center" vertical="center"/>
    </xf>
    <xf numFmtId="169" fontId="13" fillId="9" borderId="28" xfId="0" applyNumberFormat="1" applyFont="1" applyFill="1" applyBorder="1" applyAlignment="1">
      <alignment horizontal="center" vertical="center"/>
    </xf>
    <xf numFmtId="169" fontId="13" fillId="9" borderId="29" xfId="0" applyNumberFormat="1" applyFont="1" applyFill="1" applyBorder="1" applyAlignment="1">
      <alignment horizontal="center" vertical="center"/>
    </xf>
    <xf numFmtId="3" fontId="9" fillId="2" borderId="3" xfId="0" applyNumberFormat="1" applyFont="1" applyFill="1" applyBorder="1" applyAlignment="1">
      <alignment horizontal="center" vertical="center"/>
    </xf>
    <xf numFmtId="3" fontId="10" fillId="2" borderId="3" xfId="0" applyNumberFormat="1" applyFont="1" applyFill="1" applyBorder="1" applyAlignment="1">
      <alignment horizontal="center" vertical="center"/>
    </xf>
    <xf numFmtId="9" fontId="10" fillId="0" borderId="1" xfId="1" applyFont="1" applyBorder="1" applyAlignment="1">
      <alignment horizontal="center" vertical="center"/>
    </xf>
    <xf numFmtId="9" fontId="10" fillId="0" borderId="32" xfId="1" applyFont="1" applyBorder="1" applyAlignment="1">
      <alignment horizontal="center" vertical="center"/>
    </xf>
    <xf numFmtId="9" fontId="10" fillId="0" borderId="17" xfId="1" applyFont="1" applyBorder="1" applyAlignment="1">
      <alignment horizontal="center" vertical="center"/>
    </xf>
    <xf numFmtId="167" fontId="10" fillId="0" borderId="33" xfId="0" applyNumberFormat="1" applyFont="1" applyBorder="1" applyAlignment="1">
      <alignment horizontal="center" vertical="center"/>
    </xf>
    <xf numFmtId="167" fontId="10" fillId="0" borderId="34" xfId="0" applyNumberFormat="1" applyFont="1" applyBorder="1" applyAlignment="1">
      <alignment horizontal="center" vertical="center"/>
    </xf>
    <xf numFmtId="0" fontId="7" fillId="0" borderId="34" xfId="0" applyFont="1" applyBorder="1" applyAlignment="1">
      <alignment vertical="center"/>
    </xf>
    <xf numFmtId="167" fontId="10" fillId="2" borderId="34" xfId="0" applyNumberFormat="1" applyFont="1" applyFill="1" applyBorder="1" applyAlignment="1">
      <alignment horizontal="center" vertical="center"/>
    </xf>
    <xf numFmtId="167" fontId="10" fillId="2" borderId="31" xfId="0" applyNumberFormat="1" applyFont="1" applyFill="1" applyBorder="1" applyAlignment="1">
      <alignment horizontal="center" vertical="center"/>
    </xf>
    <xf numFmtId="167" fontId="10" fillId="0" borderId="1" xfId="0" applyNumberFormat="1" applyFont="1" applyBorder="1" applyAlignment="1">
      <alignment horizontal="center" vertical="center"/>
    </xf>
    <xf numFmtId="167" fontId="10" fillId="0" borderId="32" xfId="0" applyNumberFormat="1" applyFont="1" applyBorder="1" applyAlignment="1">
      <alignment horizontal="center" vertical="center"/>
    </xf>
    <xf numFmtId="0" fontId="26" fillId="0" borderId="0" xfId="0" applyFont="1" applyAlignment="1">
      <alignment horizontal="center" vertical="center" wrapText="1"/>
    </xf>
    <xf numFmtId="0" fontId="13" fillId="0" borderId="0" xfId="0" applyFont="1" applyAlignment="1">
      <alignment vertical="center"/>
    </xf>
    <xf numFmtId="166" fontId="13" fillId="0" borderId="0" xfId="1" applyNumberFormat="1" applyFont="1" applyBorder="1" applyAlignment="1">
      <alignment horizontal="center" vertical="center"/>
    </xf>
    <xf numFmtId="0" fontId="8" fillId="5" borderId="35" xfId="0" applyFont="1" applyFill="1" applyBorder="1" applyAlignment="1">
      <alignment horizontal="center" vertical="center" wrapText="1"/>
    </xf>
    <xf numFmtId="4" fontId="9" fillId="2" borderId="37" xfId="1" applyNumberFormat="1" applyFont="1" applyFill="1" applyBorder="1" applyAlignment="1">
      <alignment horizontal="center" vertical="center"/>
    </xf>
    <xf numFmtId="9" fontId="10" fillId="0" borderId="31" xfId="1" applyFont="1" applyBorder="1" applyAlignment="1">
      <alignment horizontal="center" vertical="center"/>
    </xf>
    <xf numFmtId="9" fontId="9" fillId="0" borderId="0" xfId="1" applyFont="1" applyFill="1" applyBorder="1" applyAlignment="1">
      <alignment horizontal="center" vertical="center"/>
    </xf>
    <xf numFmtId="1" fontId="22"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1" fontId="0" fillId="0" borderId="15" xfId="0" applyNumberFormat="1" applyBorder="1" applyAlignment="1">
      <alignment horizontal="right"/>
    </xf>
    <xf numFmtId="1" fontId="22" fillId="0" borderId="0" xfId="0" applyNumberFormat="1" applyFont="1" applyAlignment="1">
      <alignment horizontal="right"/>
    </xf>
    <xf numFmtId="4" fontId="0" fillId="0" borderId="0" xfId="0" applyNumberFormat="1" applyAlignment="1">
      <alignment horizontal="right"/>
    </xf>
    <xf numFmtId="0" fontId="22"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0" fontId="8" fillId="0" borderId="0" xfId="0" applyFont="1" applyAlignment="1">
      <alignment horizontal="center" vertical="center"/>
    </xf>
    <xf numFmtId="0" fontId="10" fillId="0" borderId="18" xfId="0" applyFont="1" applyBorder="1" applyAlignment="1">
      <alignment horizontal="left" vertical="center" indent="3"/>
    </xf>
    <xf numFmtId="0" fontId="10" fillId="0" borderId="19" xfId="0" applyFont="1" applyBorder="1" applyAlignment="1">
      <alignment horizontal="left" vertical="center" indent="3"/>
    </xf>
    <xf numFmtId="3" fontId="10" fillId="0" borderId="18" xfId="1" applyNumberFormat="1" applyFont="1" applyBorder="1" applyAlignment="1">
      <alignment horizontal="center" vertical="center"/>
    </xf>
    <xf numFmtId="0" fontId="22" fillId="10" borderId="0" xfId="0" applyFont="1" applyFill="1" applyAlignment="1">
      <alignment horizontal="right"/>
    </xf>
    <xf numFmtId="3" fontId="0" fillId="10" borderId="0" xfId="0" applyNumberFormat="1" applyFill="1" applyAlignment="1">
      <alignment horizontal="right"/>
    </xf>
    <xf numFmtId="0" fontId="10" fillId="0" borderId="0" xfId="0" quotePrefix="1" applyFont="1" applyAlignment="1">
      <alignment horizontal="left" vertical="center" wrapText="1" indent="3"/>
    </xf>
    <xf numFmtId="0" fontId="7" fillId="0" borderId="39" xfId="0" applyFont="1" applyBorder="1"/>
    <xf numFmtId="3" fontId="10" fillId="0" borderId="19" xfId="1" applyNumberFormat="1" applyFont="1" applyBorder="1" applyAlignment="1">
      <alignment horizontal="center" vertical="center"/>
    </xf>
    <xf numFmtId="0" fontId="18" fillId="0" borderId="39" xfId="0" applyFont="1" applyBorder="1" applyAlignment="1">
      <alignment horizontal="left" vertical="center" indent="1"/>
    </xf>
    <xf numFmtId="9" fontId="7" fillId="0" borderId="0" xfId="1" applyFont="1" applyAlignment="1">
      <alignment horizontal="center"/>
    </xf>
    <xf numFmtId="0" fontId="10" fillId="2" borderId="12" xfId="0" applyFont="1" applyFill="1" applyBorder="1" applyAlignment="1">
      <alignment horizontal="left" vertical="center" indent="1"/>
    </xf>
    <xf numFmtId="9" fontId="10" fillId="2" borderId="0" xfId="1" applyFont="1" applyFill="1" applyAlignment="1">
      <alignment horizontal="center" vertical="center"/>
    </xf>
    <xf numFmtId="1" fontId="0" fillId="0" borderId="0" xfId="0" applyNumberFormat="1"/>
    <xf numFmtId="3" fontId="10" fillId="2" borderId="3" xfId="1" applyNumberFormat="1" applyFont="1" applyFill="1" applyBorder="1" applyAlignment="1">
      <alignment horizontal="center" vertical="center"/>
    </xf>
    <xf numFmtId="3" fontId="10" fillId="2" borderId="0" xfId="1" applyNumberFormat="1" applyFont="1" applyFill="1" applyAlignment="1">
      <alignment horizontal="center" vertical="center"/>
    </xf>
    <xf numFmtId="3" fontId="10" fillId="2" borderId="7" xfId="1" applyNumberFormat="1" applyFont="1" applyFill="1" applyBorder="1" applyAlignment="1">
      <alignment horizontal="center" vertical="center"/>
    </xf>
    <xf numFmtId="9" fontId="7" fillId="0" borderId="0" xfId="1" applyFont="1" applyAlignment="1">
      <alignment horizontal="left" vertical="center" indent="1"/>
    </xf>
    <xf numFmtId="0" fontId="9" fillId="0" borderId="41" xfId="0" applyFont="1" applyBorder="1" applyAlignment="1">
      <alignment horizontal="left" vertical="center" indent="1"/>
    </xf>
    <xf numFmtId="9" fontId="10" fillId="0" borderId="41" xfId="1" applyFont="1" applyBorder="1" applyAlignment="1">
      <alignment horizontal="center" vertical="center"/>
    </xf>
    <xf numFmtId="9" fontId="10" fillId="0" borderId="42" xfId="1" applyFont="1" applyBorder="1" applyAlignment="1">
      <alignment horizontal="center" vertical="center"/>
    </xf>
    <xf numFmtId="9" fontId="10" fillId="0" borderId="42" xfId="1" applyFont="1" applyFill="1" applyBorder="1" applyAlignment="1">
      <alignment horizontal="center" vertical="center"/>
    </xf>
    <xf numFmtId="9" fontId="10" fillId="2" borderId="41" xfId="1" applyFont="1" applyFill="1" applyBorder="1" applyAlignment="1">
      <alignment horizontal="center" vertical="center"/>
    </xf>
    <xf numFmtId="9" fontId="10" fillId="0" borderId="43" xfId="1" applyFont="1" applyBorder="1" applyAlignment="1">
      <alignment horizontal="center" vertical="center"/>
    </xf>
    <xf numFmtId="9" fontId="9" fillId="0" borderId="40" xfId="1" applyFont="1" applyBorder="1" applyAlignment="1">
      <alignment horizontal="center" vertical="center"/>
    </xf>
    <xf numFmtId="0" fontId="27" fillId="0" borderId="0" xfId="0" applyFont="1"/>
    <xf numFmtId="0" fontId="27" fillId="0" borderId="0" xfId="0" applyFont="1" applyAlignment="1">
      <alignment horizontal="center"/>
    </xf>
    <xf numFmtId="4" fontId="27" fillId="0" borderId="0" xfId="0" applyNumberFormat="1" applyFont="1" applyAlignment="1">
      <alignment horizontal="center"/>
    </xf>
    <xf numFmtId="1" fontId="22" fillId="11" borderId="0" xfId="0" applyNumberFormat="1" applyFont="1" applyFill="1" applyAlignment="1">
      <alignment horizontal="right"/>
    </xf>
    <xf numFmtId="3" fontId="0" fillId="11" borderId="0" xfId="0" applyNumberFormat="1" applyFill="1" applyAlignment="1">
      <alignment horizontal="right"/>
    </xf>
    <xf numFmtId="9" fontId="0" fillId="11" borderId="0" xfId="1" applyFont="1" applyFill="1" applyAlignment="1">
      <alignment horizontal="right"/>
    </xf>
    <xf numFmtId="9" fontId="0" fillId="11" borderId="0" xfId="0" applyNumberFormat="1" applyFill="1" applyAlignment="1">
      <alignment horizontal="right"/>
    </xf>
    <xf numFmtId="0" fontId="22" fillId="12" borderId="0" xfId="0" applyFont="1" applyFill="1" applyAlignment="1">
      <alignment horizontal="right"/>
    </xf>
    <xf numFmtId="0" fontId="0" fillId="12" borderId="0" xfId="0" applyFill="1" applyAlignment="1">
      <alignment horizontal="right"/>
    </xf>
    <xf numFmtId="0" fontId="9" fillId="2" borderId="0" xfId="0" applyFont="1" applyFill="1" applyAlignment="1">
      <alignment horizontal="left" vertical="center" indent="1"/>
    </xf>
    <xf numFmtId="4" fontId="13" fillId="2" borderId="0" xfId="1" applyNumberFormat="1" applyFont="1" applyFill="1" applyBorder="1" applyAlignment="1">
      <alignment horizontal="center" vertical="center"/>
    </xf>
    <xf numFmtId="166" fontId="30" fillId="6" borderId="26" xfId="0" applyNumberFormat="1" applyFont="1" applyFill="1" applyBorder="1" applyAlignment="1">
      <alignment horizontal="center" vertical="center"/>
    </xf>
    <xf numFmtId="0" fontId="10" fillId="2" borderId="3" xfId="0" applyFont="1" applyFill="1" applyBorder="1" applyAlignment="1">
      <alignment horizontal="left" vertical="center" indent="1"/>
    </xf>
    <xf numFmtId="0" fontId="10" fillId="0" borderId="4" xfId="0" applyFont="1" applyBorder="1" applyAlignment="1">
      <alignment horizontal="left" vertical="center" indent="1"/>
    </xf>
    <xf numFmtId="166" fontId="10" fillId="0" borderId="2" xfId="0" applyNumberFormat="1" applyFont="1" applyBorder="1" applyAlignment="1">
      <alignment horizontal="center" vertical="center"/>
    </xf>
    <xf numFmtId="166" fontId="10" fillId="0" borderId="44" xfId="0" applyNumberFormat="1" applyFont="1" applyBorder="1" applyAlignment="1">
      <alignment horizontal="center" vertical="center"/>
    </xf>
    <xf numFmtId="4" fontId="10" fillId="2" borderId="36" xfId="1" applyNumberFormat="1" applyFont="1" applyFill="1" applyBorder="1" applyAlignment="1">
      <alignment horizontal="center" vertical="center"/>
    </xf>
    <xf numFmtId="0" fontId="10" fillId="2" borderId="31" xfId="0" applyFont="1" applyFill="1" applyBorder="1" applyAlignment="1">
      <alignment horizontal="left" vertical="center" indent="1"/>
    </xf>
    <xf numFmtId="0" fontId="10" fillId="2" borderId="1" xfId="0" applyFont="1" applyFill="1" applyBorder="1" applyAlignment="1">
      <alignment horizontal="left" vertical="center" indent="1"/>
    </xf>
    <xf numFmtId="9" fontId="10" fillId="0" borderId="39" xfId="1" applyFont="1" applyBorder="1" applyAlignment="1">
      <alignment horizontal="center" vertical="center"/>
    </xf>
    <xf numFmtId="0" fontId="18" fillId="8" borderId="4" xfId="0" applyFont="1" applyFill="1" applyBorder="1" applyAlignment="1">
      <alignment horizontal="left" vertical="center" indent="2"/>
    </xf>
    <xf numFmtId="4" fontId="18" fillId="8" borderId="36" xfId="1" applyNumberFormat="1" applyFont="1" applyFill="1" applyBorder="1" applyAlignment="1">
      <alignment horizontal="center" vertical="center"/>
    </xf>
    <xf numFmtId="9" fontId="18" fillId="8" borderId="38" xfId="1" applyFont="1" applyFill="1" applyBorder="1" applyAlignment="1">
      <alignment horizontal="center" vertical="center"/>
    </xf>
    <xf numFmtId="0" fontId="13" fillId="0" borderId="0" xfId="0" applyFont="1" applyAlignment="1">
      <alignment horizontal="center" vertical="center" wrapText="1"/>
    </xf>
    <xf numFmtId="0" fontId="28" fillId="0" borderId="0" xfId="0" applyFont="1" applyAlignment="1">
      <alignment horizontal="left" vertical="center" wrapText="1"/>
    </xf>
    <xf numFmtId="0" fontId="28" fillId="0" borderId="0" xfId="0" applyFont="1" applyAlignment="1">
      <alignment horizontal="left"/>
    </xf>
    <xf numFmtId="0" fontId="9" fillId="6" borderId="20" xfId="0" applyFont="1" applyFill="1" applyBorder="1" applyAlignment="1">
      <alignment horizontal="left" vertical="center" indent="1"/>
    </xf>
    <xf numFmtId="0" fontId="9" fillId="6" borderId="21" xfId="0" applyFont="1" applyFill="1" applyBorder="1" applyAlignment="1">
      <alignment horizontal="left" vertical="center" indent="1"/>
    </xf>
    <xf numFmtId="0" fontId="9" fillId="6" borderId="22" xfId="0" applyFont="1" applyFill="1" applyBorder="1" applyAlignment="1">
      <alignment horizontal="left" vertical="center" indent="1"/>
    </xf>
    <xf numFmtId="0" fontId="8" fillId="4" borderId="0" xfId="0" quotePrefix="1" applyFont="1" applyFill="1" applyAlignment="1">
      <alignment horizontal="center" vertical="center" wrapText="1"/>
    </xf>
    <xf numFmtId="0" fontId="9" fillId="2" borderId="20" xfId="0" applyFont="1" applyFill="1" applyBorder="1" applyAlignment="1">
      <alignment horizontal="left" vertical="center" indent="1"/>
    </xf>
    <xf numFmtId="0" fontId="9" fillId="2" borderId="21" xfId="0" applyFont="1" applyFill="1" applyBorder="1" applyAlignment="1">
      <alignment horizontal="left" vertical="center" indent="1"/>
    </xf>
    <xf numFmtId="0" fontId="9" fillId="2" borderId="22" xfId="0" applyFont="1" applyFill="1" applyBorder="1" applyAlignment="1">
      <alignment horizontal="left" vertical="center" indent="1"/>
    </xf>
    <xf numFmtId="0" fontId="12" fillId="2" borderId="0" xfId="0" applyFont="1" applyFill="1" applyAlignment="1">
      <alignment horizontal="left" vertical="center"/>
    </xf>
    <xf numFmtId="167" fontId="10" fillId="2" borderId="0" xfId="0" applyNumberFormat="1" applyFont="1" applyFill="1" applyBorder="1" applyAlignment="1">
      <alignment horizontal="center" vertical="center"/>
    </xf>
    <xf numFmtId="167" fontId="10" fillId="6" borderId="27" xfId="0" applyNumberFormat="1" applyFont="1" applyFill="1" applyBorder="1" applyAlignment="1">
      <alignment horizontal="center" vertical="center"/>
    </xf>
    <xf numFmtId="167" fontId="10" fillId="6" borderId="28" xfId="0" applyNumberFormat="1" applyFont="1" applyFill="1" applyBorder="1" applyAlignment="1">
      <alignment horizontal="center" vertical="center"/>
    </xf>
    <xf numFmtId="167" fontId="10" fillId="6" borderId="29" xfId="0" applyNumberFormat="1"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cellXfs>
  <cellStyles count="2">
    <cellStyle name="Normal" xfId="0" builtinId="0"/>
    <cellStyle name="Porcentaje" xfId="1" builtinId="5"/>
  </cellStyles>
  <dxfs count="43">
    <dxf>
      <font>
        <color rgb="FFFF0000"/>
      </font>
    </dxf>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FF00"/>
      <color rgb="FFFFFF00"/>
      <color rgb="FFFFFD78"/>
      <color rgb="FF008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'4.Valoración'!$A$18</c:f>
              <c:strCache>
                <c:ptCount val="1"/>
                <c:pt idx="0">
                  <c:v>P / AFFO</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'4.Valoración'!$B$16:$F$16</c:f>
            </c:multiLvlStrRef>
          </c:cat>
          <c:val>
            <c:numRef>
              <c:f>'4.Valoración'!$B$18:$F$18</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ECAE-4AC7-A87E-F0CB64A2EAEC}"/>
            </c:ext>
          </c:extLst>
        </c:ser>
        <c:ser>
          <c:idx val="1"/>
          <c:order val="1"/>
          <c:tx>
            <c:strRef>
              <c:f>TIKR_Cálculos!$A$4</c:f>
              <c:strCache>
                <c:ptCount val="1"/>
                <c:pt idx="0">
                  <c:v>Precio actual</c:v>
                </c:pt>
              </c:strCache>
            </c:strRef>
          </c:tx>
          <c:spPr>
            <a:ln w="28575" cap="rnd">
              <a:solidFill>
                <a:schemeClr val="accent6"/>
              </a:solidFill>
              <a:prstDash val="dash"/>
              <a:round/>
            </a:ln>
            <a:effectLst/>
          </c:spPr>
          <c:marker>
            <c:symbol val="none"/>
          </c:marker>
          <c:cat>
            <c:multiLvlStrRef>
              <c:f>'4.Valoración'!$B$16:$F$16</c:f>
            </c:multiLvlStrRef>
          </c:cat>
          <c:val>
            <c:numRef>
              <c:f>TIKR_Cálculos!$B$4:$F$4</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733065</xdr:colOff>
      <xdr:row>0</xdr:row>
      <xdr:rowOff>0</xdr:rowOff>
    </xdr:from>
    <xdr:to>
      <xdr:col>15</xdr:col>
      <xdr:colOff>874059</xdr:colOff>
      <xdr:row>0</xdr:row>
      <xdr:rowOff>750757</xdr:rowOff>
    </xdr:to>
    <xdr:pic>
      <xdr:nvPicPr>
        <xdr:cNvPr id="3" name="Imagen 2">
          <a:extLst>
            <a:ext uri="{FF2B5EF4-FFF2-40B4-BE49-F238E27FC236}">
              <a16:creationId xmlns:a16="http://schemas.microsoft.com/office/drawing/2014/main" id="{0E7C06BE-1C0C-E841-A125-212AB68B1DA2}"/>
            </a:ext>
          </a:extLst>
        </xdr:cNvPr>
        <xdr:cNvPicPr>
          <a:picLocks noChangeAspect="1"/>
        </xdr:cNvPicPr>
      </xdr:nvPicPr>
      <xdr:blipFill>
        <a:blip xmlns:r="http://schemas.openxmlformats.org/officeDocument/2006/relationships" r:embed="rId1"/>
        <a:stretch>
          <a:fillRect/>
        </a:stretch>
      </xdr:blipFill>
      <xdr:spPr>
        <a:xfrm>
          <a:off x="14628359" y="0"/>
          <a:ext cx="1933935" cy="750757"/>
        </a:xfrm>
        <a:prstGeom prst="rect">
          <a:avLst/>
        </a:prstGeom>
      </xdr:spPr>
    </xdr:pic>
    <xdr:clientData/>
  </xdr:twoCellAnchor>
  <xdr:twoCellAnchor>
    <xdr:from>
      <xdr:col>19</xdr:col>
      <xdr:colOff>649941</xdr:colOff>
      <xdr:row>6</xdr:row>
      <xdr:rowOff>56029</xdr:rowOff>
    </xdr:from>
    <xdr:to>
      <xdr:col>19</xdr:col>
      <xdr:colOff>649941</xdr:colOff>
      <xdr:row>8</xdr:row>
      <xdr:rowOff>67235</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V="1">
          <a:off x="20383500" y="2622176"/>
          <a:ext cx="0" cy="6387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851648</xdr:colOff>
      <xdr:row>0</xdr:row>
      <xdr:rowOff>560294</xdr:rowOff>
    </xdr:from>
    <xdr:to>
      <xdr:col>11</xdr:col>
      <xdr:colOff>1</xdr:colOff>
      <xdr:row>5</xdr:row>
      <xdr:rowOff>291354</xdr:rowOff>
    </xdr:to>
    <xdr:cxnSp macro="">
      <xdr:nvCxnSpPr>
        <xdr:cNvPr id="2" name="Conector recto de flecha 1">
          <a:extLst>
            <a:ext uri="{FF2B5EF4-FFF2-40B4-BE49-F238E27FC236}">
              <a16:creationId xmlns:a16="http://schemas.microsoft.com/office/drawing/2014/main" id="{FC757D78-F592-4CD8-94EC-928D7B5FC2AC}"/>
            </a:ext>
          </a:extLst>
        </xdr:cNvPr>
        <xdr:cNvCxnSpPr/>
      </xdr:nvCxnSpPr>
      <xdr:spPr>
        <a:xfrm>
          <a:off x="11956677" y="560294"/>
          <a:ext cx="11206" cy="1983442"/>
        </a:xfrm>
        <a:prstGeom prst="straightConnector1">
          <a:avLst/>
        </a:prstGeom>
        <a:ln w="31750">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0</xdr:row>
      <xdr:rowOff>0</xdr:rowOff>
    </xdr:from>
    <xdr:to>
      <xdr:col>15</xdr:col>
      <xdr:colOff>947818</xdr:colOff>
      <xdr:row>0</xdr:row>
      <xdr:rowOff>750757</xdr:rowOff>
    </xdr:to>
    <xdr:pic>
      <xdr:nvPicPr>
        <xdr:cNvPr id="2" name="Imagen 1" descr="Imagen que contiene Icono&#10;&#10;Descripción generada automáticamente">
          <a:extLst>
            <a:ext uri="{FF2B5EF4-FFF2-40B4-BE49-F238E27FC236}">
              <a16:creationId xmlns:a16="http://schemas.microsoft.com/office/drawing/2014/main" id="{BA83CA1C-49B0-4C91-8BAC-7D90000C7301}"/>
            </a:ext>
          </a:extLst>
        </xdr:cNvPr>
        <xdr:cNvPicPr>
          <a:picLocks noChangeAspect="1"/>
        </xdr:cNvPicPr>
      </xdr:nvPicPr>
      <xdr:blipFill>
        <a:blip xmlns:r="http://schemas.openxmlformats.org/officeDocument/2006/relationships" r:embed="rId1"/>
        <a:stretch>
          <a:fillRect/>
        </a:stretch>
      </xdr:blipFill>
      <xdr:spPr>
        <a:xfrm>
          <a:off x="16416618" y="0"/>
          <a:ext cx="1933935" cy="750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6415</xdr:colOff>
      <xdr:row>9</xdr:row>
      <xdr:rowOff>0</xdr:rowOff>
    </xdr:from>
    <xdr:to>
      <xdr:col>16</xdr:col>
      <xdr:colOff>2211916</xdr:colOff>
      <xdr:row>18</xdr:row>
      <xdr:rowOff>48683</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148167</xdr:rowOff>
    </xdr:from>
    <xdr:to>
      <xdr:col>16</xdr:col>
      <xdr:colOff>1026583</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896167" y="2434167"/>
          <a:ext cx="963083" cy="1058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3</xdr:col>
      <xdr:colOff>846666</xdr:colOff>
      <xdr:row>13</xdr:row>
      <xdr:rowOff>158749</xdr:rowOff>
    </xdr:from>
    <xdr:to>
      <xdr:col>4</xdr:col>
      <xdr:colOff>740833</xdr:colOff>
      <xdr:row>13</xdr:row>
      <xdr:rowOff>158750</xdr:rowOff>
    </xdr:to>
    <xdr:cxnSp macro="">
      <xdr:nvCxnSpPr>
        <xdr:cNvPr id="7" name="Conector recto de flecha 6">
          <a:extLst>
            <a:ext uri="{FF2B5EF4-FFF2-40B4-BE49-F238E27FC236}">
              <a16:creationId xmlns:a16="http://schemas.microsoft.com/office/drawing/2014/main" id="{4269239A-3F11-402D-8769-07229F629553}"/>
            </a:ext>
          </a:extLst>
        </xdr:cNvPr>
        <xdr:cNvCxnSpPr/>
      </xdr:nvCxnSpPr>
      <xdr:spPr>
        <a:xfrm flipH="1" flipV="1">
          <a:off x="5672666" y="4709582"/>
          <a:ext cx="740834" cy="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7</xdr:row>
      <xdr:rowOff>179916</xdr:rowOff>
    </xdr:from>
    <xdr:to>
      <xdr:col>4</xdr:col>
      <xdr:colOff>730250</xdr:colOff>
      <xdr:row>13</xdr:row>
      <xdr:rowOff>148167</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715000" y="3344333"/>
          <a:ext cx="687917" cy="13546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13</xdr:col>
      <xdr:colOff>603250</xdr:colOff>
      <xdr:row>0</xdr:row>
      <xdr:rowOff>0</xdr:rowOff>
    </xdr:from>
    <xdr:to>
      <xdr:col>15</xdr:col>
      <xdr:colOff>843852</xdr:colOff>
      <xdr:row>0</xdr:row>
      <xdr:rowOff>750757</xdr:rowOff>
    </xdr:to>
    <xdr:pic>
      <xdr:nvPicPr>
        <xdr:cNvPr id="2" name="Imagen 1" descr="Imagen que contiene Icono&#10;&#10;Descripción generada automáticamente">
          <a:extLst>
            <a:ext uri="{FF2B5EF4-FFF2-40B4-BE49-F238E27FC236}">
              <a16:creationId xmlns:a16="http://schemas.microsoft.com/office/drawing/2014/main" id="{529F7BAF-F32D-441F-97EF-E6D6FFCAE621}"/>
            </a:ext>
          </a:extLst>
        </xdr:cNvPr>
        <xdr:cNvPicPr>
          <a:picLocks noChangeAspect="1"/>
        </xdr:cNvPicPr>
      </xdr:nvPicPr>
      <xdr:blipFill>
        <a:blip xmlns:r="http://schemas.openxmlformats.org/officeDocument/2006/relationships" r:embed="rId2"/>
        <a:stretch>
          <a:fillRect/>
        </a:stretch>
      </xdr:blipFill>
      <xdr:spPr>
        <a:xfrm>
          <a:off x="13895917" y="0"/>
          <a:ext cx="1933935" cy="7507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12" headerRowCount="0" totalsRowShown="0" headerRowDxfId="42" dataDxfId="41" tableBorderDxfId="40">
  <tableColumns count="16">
    <tableColumn id="1" xr3:uid="{A6785006-F8E5-4C64-9FD0-27A59A5D5C99}" name="Columna1" dataDxfId="39" totalsRowDxfId="38"/>
    <tableColumn id="2" xr3:uid="{981C2CA3-CAE8-4430-949B-243AE4AAF960}" name="Columna2" dataDxfId="37" totalsRowDxfId="36" dataCellStyle="Porcentaje"/>
    <tableColumn id="3" xr3:uid="{05B4E26C-7803-4FE4-9783-4211E3EEA32B}" name="Columna3" dataDxfId="35" totalsRowDxfId="34" dataCellStyle="Porcentaje"/>
    <tableColumn id="4" xr3:uid="{8DA5225F-2555-474C-8C27-E7A1FC21344A}" name="Columna4" dataDxfId="33" totalsRowDxfId="32" dataCellStyle="Porcentaje"/>
    <tableColumn id="5" xr3:uid="{19F8591C-4479-413D-B705-650B30DEF405}" name="Columna5" dataDxfId="31" totalsRowDxfId="30" dataCellStyle="Porcentaje"/>
    <tableColumn id="6" xr3:uid="{1941A256-8DCA-4A7E-AD52-B81EA09BA49A}" name="Columna6" dataDxfId="29" totalsRowDxfId="28" dataCellStyle="Porcentaje"/>
    <tableColumn id="7" xr3:uid="{CF06C5C2-7817-4507-BFA7-43D9A7684B99}" name="Columna7" dataDxfId="27" totalsRowDxfId="26" dataCellStyle="Porcentaje"/>
    <tableColumn id="8" xr3:uid="{A6CC500A-793E-4AC7-A805-E9B1D5055605}" name="Columna8" dataDxfId="25" totalsRowDxfId="24" dataCellStyle="Porcentaje"/>
    <tableColumn id="26" xr3:uid="{0B545C41-E67D-4483-9C98-FA37E48CE39B}" name="Columna14" dataDxfId="23" totalsRowDxfId="22" dataCellStyle="Porcentaje">
      <calculatedColumnFormula>IFERROR(YEAR(VLOOKUP("Income Statement*",'7.TIKR_IS'!$A:$K,COLUMN(I3),FALSE)),H2+1)</calculatedColumnFormula>
    </tableColumn>
    <tableColumn id="27" xr3:uid="{152C1E1C-8951-461E-9BC4-D433CDB80813}" name="Columna15" dataDxfId="21" totalsRowDxfId="20" dataCellStyle="Porcentaje">
      <calculatedColumnFormula>IFERROR(YEAR(VLOOKUP("Income Statement*",'7.TIKR_IS'!$A:$K,COLUMN(J3),FALSE)),I2+1)</calculatedColumnFormula>
    </tableColumn>
    <tableColumn id="28" xr3:uid="{8F4400F9-2BC0-43E5-A7FC-855F8DABA093}" name="Columna16" dataDxfId="19" totalsRowDxfId="18" dataCellStyle="Porcentaje">
      <calculatedColumnFormula>IFERROR(YEAR(VLOOKUP("Income Statement*",'7.TIKR_IS'!$A:$K,COLUMN(K3),FALSE)),J2+1)</calculatedColumnFormula>
    </tableColumn>
    <tableColumn id="9" xr3:uid="{6B4891E9-5875-43D0-AAAA-C9094399640F}" name="Columna9" dataDxfId="17" totalsRowDxfId="16" dataCellStyle="Porcentaje"/>
    <tableColumn id="10" xr3:uid="{41432F5A-0AFB-469C-9CA5-86091AA8061A}" name="Columna10" dataDxfId="15" totalsRowDxfId="14" dataCellStyle="Porcentaje"/>
    <tableColumn id="11" xr3:uid="{A781D52B-7709-4D76-9137-322146222404}" name="Columna11" dataDxfId="13" totalsRowDxfId="12" dataCellStyle="Porcentaje"/>
    <tableColumn id="12" xr3:uid="{51F4EFE8-3D05-4C21-A43C-A2D80156AEF7}" name="Columna12" dataDxfId="11" totalsRowDxfId="10" dataCellStyle="Porcentaje"/>
    <tableColumn id="13" xr3:uid="{A5653B19-9C81-444D-A0FD-CC4A9CE1A8AA}" name="Columna13" dataDxfId="9" totalsRowDxfId="8"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7"/>
  <sheetViews>
    <sheetView showGridLines="0" tabSelected="1" zoomScale="85" zoomScaleNormal="85" workbookViewId="0">
      <selection activeCell="B1" sqref="B1"/>
    </sheetView>
  </sheetViews>
  <sheetFormatPr baseColWidth="10" defaultColWidth="0" defaultRowHeight="15" zeroHeight="1" x14ac:dyDescent="0.25"/>
  <cols>
    <col min="1" max="1" width="4.28515625" customWidth="1"/>
    <col min="2" max="2" width="246.42578125" customWidth="1"/>
    <col min="3" max="3" width="13.42578125" customWidth="1"/>
    <col min="4" max="15" width="0" hidden="1" customWidth="1"/>
    <col min="16" max="16384" width="11.42578125" hidden="1"/>
  </cols>
  <sheetData>
    <row r="1" spans="2:2" ht="87" customHeight="1" x14ac:dyDescent="0.25"/>
    <row r="2" spans="2:2" ht="25.5" x14ac:dyDescent="0.25">
      <c r="B2" s="142" t="s">
        <v>118</v>
      </c>
    </row>
    <row r="3" spans="2:2" ht="9.9499999999999993" customHeight="1" x14ac:dyDescent="0.3">
      <c r="B3" s="19"/>
    </row>
    <row r="4" spans="2:2" ht="17.100000000000001" customHeight="1" x14ac:dyDescent="0.25">
      <c r="B4" s="92" t="s">
        <v>165</v>
      </c>
    </row>
    <row r="5" spans="2:2" ht="9.9499999999999993" customHeight="1" x14ac:dyDescent="0.25">
      <c r="B5" s="92"/>
    </row>
    <row r="6" spans="2:2" ht="17.100000000000001" customHeight="1" x14ac:dyDescent="0.25">
      <c r="B6" s="92" t="s">
        <v>116</v>
      </c>
    </row>
    <row r="7" spans="2:2" ht="9.9499999999999993" customHeight="1" x14ac:dyDescent="0.25">
      <c r="B7" s="92"/>
    </row>
    <row r="8" spans="2:2" ht="17.100000000000001" customHeight="1" x14ac:dyDescent="0.25">
      <c r="B8" s="92" t="s">
        <v>133</v>
      </c>
    </row>
    <row r="9" spans="2:2" ht="9.9499999999999993" customHeight="1" x14ac:dyDescent="0.25">
      <c r="B9" s="92"/>
    </row>
    <row r="10" spans="2:2" ht="17.100000000000001" customHeight="1" x14ac:dyDescent="0.25">
      <c r="B10" s="93" t="s">
        <v>95</v>
      </c>
    </row>
    <row r="11" spans="2:2" ht="9.9499999999999993" customHeight="1" x14ac:dyDescent="0.25">
      <c r="B11" s="93"/>
    </row>
    <row r="12" spans="2:2" ht="34.5" x14ac:dyDescent="0.25">
      <c r="B12" s="195" t="s">
        <v>131</v>
      </c>
    </row>
    <row r="13" spans="2:2" ht="9.9499999999999993" customHeight="1" x14ac:dyDescent="0.25">
      <c r="B13" s="93"/>
    </row>
    <row r="14" spans="2:2" ht="17.100000000000001" customHeight="1" x14ac:dyDescent="0.25">
      <c r="B14" s="93" t="s">
        <v>134</v>
      </c>
    </row>
    <row r="15" spans="2:2" ht="17.25" x14ac:dyDescent="0.3">
      <c r="B15" s="52" t="s">
        <v>114</v>
      </c>
    </row>
    <row r="16" spans="2:2" ht="25.5" x14ac:dyDescent="0.25">
      <c r="B16" s="142" t="s">
        <v>158</v>
      </c>
    </row>
    <row r="17" spans="2:2" ht="9.9499999999999993" customHeight="1" x14ac:dyDescent="0.3">
      <c r="B17" s="52"/>
    </row>
    <row r="18" spans="2:2" ht="17.100000000000001" customHeight="1" x14ac:dyDescent="0.3">
      <c r="B18" s="52" t="s">
        <v>160</v>
      </c>
    </row>
    <row r="19" spans="2:2" ht="9.9499999999999993" customHeight="1" x14ac:dyDescent="0.3">
      <c r="B19" s="52"/>
    </row>
    <row r="20" spans="2:2" ht="17.100000000000001" customHeight="1" x14ac:dyDescent="0.25">
      <c r="B20" s="92" t="s">
        <v>161</v>
      </c>
    </row>
    <row r="21" spans="2:2" ht="9.9499999999999993" customHeight="1" x14ac:dyDescent="0.3">
      <c r="B21" s="52"/>
    </row>
    <row r="22" spans="2:2" ht="17.100000000000001" customHeight="1" x14ac:dyDescent="0.3">
      <c r="B22" s="52" t="s">
        <v>157</v>
      </c>
    </row>
    <row r="23" spans="2:2" ht="9.9499999999999993" customHeight="1" x14ac:dyDescent="0.3">
      <c r="B23" s="52"/>
    </row>
    <row r="24" spans="2:2" ht="17.100000000000001" customHeight="1" x14ac:dyDescent="0.25">
      <c r="B24" s="92" t="s">
        <v>156</v>
      </c>
    </row>
    <row r="25" spans="2:2" ht="9.9499999999999993" customHeight="1" x14ac:dyDescent="0.3">
      <c r="B25" s="52"/>
    </row>
    <row r="26" spans="2:2" ht="17.100000000000001" customHeight="1" x14ac:dyDescent="0.25">
      <c r="B26" s="92" t="s">
        <v>162</v>
      </c>
    </row>
    <row r="27" spans="2:2" s="149" customFormat="1" ht="9.9499999999999993" customHeight="1" x14ac:dyDescent="0.25">
      <c r="B27" s="9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showGridLines="0" zoomScale="85" zoomScaleNormal="85" workbookViewId="0">
      <pane xSplit="1" ySplit="2" topLeftCell="B3" activePane="bottomRight" state="frozen"/>
      <selection pane="topRight" activeCell="B1" sqref="B1"/>
      <selection pane="bottomLeft" activeCell="A3" sqref="A3"/>
      <selection pane="bottomRight" activeCell="O5" sqref="O5"/>
    </sheetView>
  </sheetViews>
  <sheetFormatPr baseColWidth="10" defaultColWidth="0" defaultRowHeight="17.25" zeroHeight="1" x14ac:dyDescent="0.3"/>
  <cols>
    <col min="1" max="1" width="44.28515625" style="4" customWidth="1"/>
    <col min="2" max="2" width="14.140625" style="5" bestFit="1" customWidth="1"/>
    <col min="3" max="3" width="17.42578125" style="5" bestFit="1" customWidth="1"/>
    <col min="4" max="8" width="12.85546875" style="5" bestFit="1" customWidth="1"/>
    <col min="9" max="11" width="12.85546875" style="5" customWidth="1"/>
    <col min="12" max="12" width="14.42578125" style="5" bestFit="1" customWidth="1"/>
    <col min="13" max="16" width="13.42578125" style="5" bestFit="1" customWidth="1"/>
    <col min="17" max="17" width="3" style="4" customWidth="1"/>
    <col min="18" max="18" width="28.5703125" style="4" customWidth="1"/>
    <col min="19" max="19" width="16.5703125" style="5" customWidth="1"/>
    <col min="20" max="20" width="19.5703125" style="5" customWidth="1"/>
    <col min="21" max="21" width="1.28515625" style="6" customWidth="1"/>
    <col min="22" max="23" width="11.42578125" style="6" hidden="1" customWidth="1"/>
    <col min="24" max="24" width="0" style="6" hidden="1" customWidth="1"/>
    <col min="25" max="16384" width="11.42578125" style="6" hidden="1"/>
  </cols>
  <sheetData>
    <row r="1" spans="1:23" s="2" customFormat="1" ht="60" customHeight="1" thickBot="1" x14ac:dyDescent="0.3">
      <c r="A1"/>
      <c r="B1" s="16" t="s">
        <v>145</v>
      </c>
      <c r="C1" s="3"/>
      <c r="D1" s="3"/>
      <c r="E1" s="3"/>
      <c r="F1" s="3"/>
      <c r="G1" s="3"/>
      <c r="H1" s="3"/>
      <c r="I1" s="252"/>
      <c r="J1" s="253" t="s">
        <v>117</v>
      </c>
      <c r="K1" s="253"/>
      <c r="L1" s="253"/>
      <c r="M1" s="253"/>
      <c r="N1" s="3"/>
      <c r="O1" s="3"/>
      <c r="P1" s="3"/>
      <c r="Q1"/>
      <c r="R1"/>
      <c r="S1" s="3"/>
      <c r="T1" s="171"/>
      <c r="U1" s="1"/>
      <c r="V1" s="1"/>
    </row>
    <row r="2" spans="1:23" ht="44.1" customHeight="1" thickTop="1" x14ac:dyDescent="0.3">
      <c r="A2" s="96" t="s">
        <v>54</v>
      </c>
      <c r="B2" s="53" t="str">
        <f>IFERROR(IF(VLOOKUP("Income Statement*",'7.TIKR_IS'!$A:$K,COLUMN(B3),FALSE)="","",IFERROR(YEAR(VLOOKUP("Income Statement*",'7.TIKR_IS'!$A:$K,COLUMN(B3),FALSE)),"2014")),"")</f>
        <v/>
      </c>
      <c r="C2" s="53" t="str">
        <f>IFERROR(IF(VLOOKUP("Income Statement*",'7.TIKR_IS'!$A:$K,COLUMN(C3),FALSE)="","",IFERROR(YEAR(VLOOKUP("Income Statement*",'7.TIKR_IS'!$A:$K,COLUMN(C3),FALSE)),B2+1)),"")</f>
        <v/>
      </c>
      <c r="D2" s="53" t="str">
        <f>IFERROR(IF(VLOOKUP("Income Statement*",'7.TIKR_IS'!$A:$K,COLUMN(D3),FALSE)="","",IFERROR(YEAR(VLOOKUP("Income Statement*",'7.TIKR_IS'!$A:$K,COLUMN(D3),FALSE)),C2+1)),"")</f>
        <v/>
      </c>
      <c r="E2" s="53" t="str">
        <f>IFERROR(IF(VLOOKUP("Income Statement*",'7.TIKR_IS'!$A:$K,COLUMN(E3),FALSE)="","",IFERROR(YEAR(VLOOKUP("Income Statement*",'7.TIKR_IS'!$A:$K,COLUMN(E3),FALSE)),D2+1)),"")</f>
        <v/>
      </c>
      <c r="F2" s="53" t="str">
        <f>IFERROR(IF(VLOOKUP("Income Statement*",'7.TIKR_IS'!$A:$K,COLUMN(F3),FALSE)="","",IFERROR(YEAR(VLOOKUP("Income Statement*",'7.TIKR_IS'!$A:$K,COLUMN(F3),FALSE)),E2+1)),"")</f>
        <v/>
      </c>
      <c r="G2" s="53" t="str">
        <f>IFERROR(IF(VLOOKUP("Income Statement*",'7.TIKR_IS'!$A:$K,COLUMN(G3),FALSE)="","",IFERROR(YEAR(VLOOKUP("Income Statement*",'7.TIKR_IS'!$A:$K,COLUMN(G3),FALSE)),F2+1)),"")</f>
        <v/>
      </c>
      <c r="H2" s="53" t="str">
        <f>IFERROR(IF(VLOOKUP("Income Statement*",'7.TIKR_IS'!$A:$K,COLUMN(H3),FALSE)="","",IFERROR(YEAR(VLOOKUP("Income Statement*",'7.TIKR_IS'!$A:$K,COLUMN(H3),FALSE)),G2+1)),"")</f>
        <v/>
      </c>
      <c r="I2" s="53" t="str">
        <f>IFERROR(IF(VLOOKUP("Income Statement*",'7.TIKR_IS'!$A:$K,COLUMN(I3),FALSE)="","",IFERROR(YEAR(VLOOKUP("Income Statement*",'7.TIKR_IS'!$A:$K,COLUMN(I3),FALSE)),H2+1)),"")</f>
        <v/>
      </c>
      <c r="J2" s="53" t="str">
        <f>IFERROR(IF(VLOOKUP("Income Statement*",'7.TIKR_IS'!$A:$K,COLUMN(J3),FALSE)="","",IFERROR(YEAR(VLOOKUP("Income Statement*",'7.TIKR_IS'!$A:$K,COLUMN(J3),FALSE)),I2+1)),"")</f>
        <v/>
      </c>
      <c r="K2" s="53" t="str">
        <f>IFERROR(IF(VLOOKUP("Income Statement*",'7.TIKR_IS'!$A:$K,COLUMN(K3),FALSE)="","",IFERROR(YEAR(VLOOKUP("Income Statement*",'7.TIKR_IS'!$A:$K,COLUMN(K3),FALSE)),J2+1)),"")</f>
        <v/>
      </c>
      <c r="L2" s="8" t="str">
        <f>IF(K2&lt;&gt;"",(K2+1)&amp;"e","")</f>
        <v/>
      </c>
      <c r="M2" s="8" t="str">
        <f>IF(L2&lt;&gt;"",(LEFT(L2,4)+1)&amp;"e","")</f>
        <v/>
      </c>
      <c r="N2" s="8" t="str">
        <f t="shared" ref="N2:P2" si="0">IF(M2&lt;&gt;"",(LEFT(M2,4)+1)&amp;"e","")</f>
        <v/>
      </c>
      <c r="O2" s="8" t="str">
        <f t="shared" si="0"/>
        <v/>
      </c>
      <c r="P2" s="8" t="str">
        <f t="shared" si="0"/>
        <v/>
      </c>
      <c r="R2" s="68" t="s">
        <v>55</v>
      </c>
      <c r="S2" s="64" t="str">
        <f>"Promedio "&amp;CHAR(10)&amp;B2&amp;" - "&amp;K2</f>
        <v xml:space="preserve">Promedio 
 - </v>
      </c>
      <c r="T2" s="151" t="str">
        <f>"Estimaciones "&amp;CHAR(10)&amp;L2&amp;" - "&amp;P2</f>
        <v xml:space="preserve">Estimaciones 
 - </v>
      </c>
      <c r="U2" s="26"/>
      <c r="V2" s="26"/>
      <c r="W2" s="26"/>
    </row>
    <row r="3" spans="1:23" ht="24.95" customHeight="1" x14ac:dyDescent="0.25">
      <c r="A3" s="105" t="s">
        <v>4</v>
      </c>
      <c r="B3" s="98" t="str">
        <f>IFERROR(VLOOKUP("Total Revenues*",'7.TIKR_IS'!$A:$K,COLUMN(B3),FALSE),"0")</f>
        <v>0</v>
      </c>
      <c r="C3" s="54" t="str">
        <f>IFERROR(VLOOKUP("Total Revenues*",'7.TIKR_IS'!$A:$K,COLUMN(C3),FALSE),"0")</f>
        <v>0</v>
      </c>
      <c r="D3" s="54" t="str">
        <f>IFERROR(VLOOKUP("Total Revenues*",'7.TIKR_IS'!$A:$K,COLUMN(D3),FALSE),"0")</f>
        <v>0</v>
      </c>
      <c r="E3" s="54" t="str">
        <f>IFERROR(VLOOKUP("Total Revenues*",'7.TIKR_IS'!$A:$K,COLUMN(E3),FALSE),"0")</f>
        <v>0</v>
      </c>
      <c r="F3" s="54" t="str">
        <f>IFERROR(VLOOKUP("Total Revenues*",'7.TIKR_IS'!$A:$K,COLUMN(F3),FALSE),"0")</f>
        <v>0</v>
      </c>
      <c r="G3" s="54" t="str">
        <f>IFERROR(VLOOKUP("Total Revenues*",'7.TIKR_IS'!$A:$K,COLUMN(G3),FALSE),"0")</f>
        <v>0</v>
      </c>
      <c r="H3" s="54" t="str">
        <f>IFERROR(VLOOKUP("Total Revenues*",'7.TIKR_IS'!$A:$K,COLUMN(H3),FALSE),"0")</f>
        <v>0</v>
      </c>
      <c r="I3" s="54" t="str">
        <f>IFERROR(VLOOKUP("Total Revenues*",'7.TIKR_IS'!$A:$K,COLUMN(I3),FALSE),"0")</f>
        <v>0</v>
      </c>
      <c r="J3" s="54" t="str">
        <f>IFERROR(VLOOKUP("Total Revenues*",'7.TIKR_IS'!$A:$K,COLUMN(J3),FALSE),"0")</f>
        <v>0</v>
      </c>
      <c r="K3" s="54" t="str">
        <f>IFERROR(VLOOKUP("Total Revenues*",'7.TIKR_IS'!$A:$K,COLUMN(K3),FALSE),"0")</f>
        <v>0</v>
      </c>
      <c r="L3" s="159" t="str">
        <f>IFERROR((K3*$T$3)+K3,"")</f>
        <v/>
      </c>
      <c r="M3" s="9" t="str">
        <f>IFERROR((L3*$T$3)+L3,"")</f>
        <v/>
      </c>
      <c r="N3" s="9" t="str">
        <f>IFERROR((M3*$T$3)+M3,"")</f>
        <v/>
      </c>
      <c r="O3" s="9" t="str">
        <f>IFERROR((N3*$T$3)+N3,"")</f>
        <v/>
      </c>
      <c r="P3" s="106" t="str">
        <f>IFERROR((O3*$T$3)+O3,"")</f>
        <v/>
      </c>
      <c r="Q3" s="6"/>
      <c r="R3" s="65" t="s">
        <v>53</v>
      </c>
      <c r="S3" s="55" t="str">
        <f>IFERROR(AVERAGE(C4:K4),"")</f>
        <v/>
      </c>
      <c r="T3" s="152" t="str">
        <f>S3</f>
        <v/>
      </c>
      <c r="U3" s="26"/>
      <c r="V3" s="26"/>
      <c r="W3" s="26"/>
    </row>
    <row r="4" spans="1:23" ht="24.95" customHeight="1" x14ac:dyDescent="0.25">
      <c r="A4" s="69" t="s">
        <v>6</v>
      </c>
      <c r="B4" s="99"/>
      <c r="C4" s="10" t="str">
        <f t="shared" ref="C4:H4" si="1">IFERROR((C3-B3)/B3,"")</f>
        <v/>
      </c>
      <c r="D4" s="10" t="str">
        <f t="shared" si="1"/>
        <v/>
      </c>
      <c r="E4" s="10" t="str">
        <f t="shared" si="1"/>
        <v/>
      </c>
      <c r="F4" s="10" t="str">
        <f>IFERROR((F3-E3)/E3,"")</f>
        <v/>
      </c>
      <c r="G4" s="10" t="str">
        <f t="shared" si="1"/>
        <v/>
      </c>
      <c r="H4" s="10" t="str">
        <f t="shared" si="1"/>
        <v/>
      </c>
      <c r="I4" s="10" t="str">
        <f t="shared" ref="I4" si="2">IFERROR((I3-H3)/H3,"")</f>
        <v/>
      </c>
      <c r="J4" s="10" t="str">
        <f t="shared" ref="J4" si="3">IFERROR((J3-I3)/I3,"")</f>
        <v/>
      </c>
      <c r="K4" s="10" t="str">
        <f t="shared" ref="K4" si="4">IFERROR((K3-J3)/J3,"")</f>
        <v/>
      </c>
      <c r="L4" s="99" t="str">
        <f>$T$3</f>
        <v/>
      </c>
      <c r="M4" s="10" t="str">
        <f>$T$3</f>
        <v/>
      </c>
      <c r="N4" s="10" t="str">
        <f>$T$3</f>
        <v/>
      </c>
      <c r="O4" s="10" t="str">
        <f>$T$3</f>
        <v/>
      </c>
      <c r="P4" s="107" t="str">
        <f>$T$3</f>
        <v/>
      </c>
      <c r="Q4" s="6"/>
      <c r="R4" s="66" t="s">
        <v>135</v>
      </c>
      <c r="S4" s="56" t="str">
        <f>IFERROR(AVERAGE(B6:K6),"")</f>
        <v/>
      </c>
      <c r="T4" s="152" t="str">
        <f>S4</f>
        <v/>
      </c>
      <c r="U4" s="26"/>
      <c r="V4" s="26"/>
      <c r="W4" s="26"/>
    </row>
    <row r="5" spans="1:23" ht="24.95" customHeight="1" x14ac:dyDescent="0.25">
      <c r="A5" s="105" t="s">
        <v>152</v>
      </c>
      <c r="B5" s="102" t="str">
        <f>IFERROR(VLOOKUP("FFO",'7.TIKR_IS'!$A:$K,COLUMN(B2),FALSE),"0")</f>
        <v>0</v>
      </c>
      <c r="C5" s="88" t="str">
        <f>IFERROR(VLOOKUP("FFO",'7.TIKR_IS'!$A:$K,COLUMN(C2),FALSE),"0")</f>
        <v>0</v>
      </c>
      <c r="D5" s="88" t="str">
        <f>IFERROR(VLOOKUP("FFO",'7.TIKR_IS'!$A:$K,COLUMN(D2),FALSE),"0")</f>
        <v>0</v>
      </c>
      <c r="E5" s="88" t="str">
        <f>IFERROR(VLOOKUP("FFO",'7.TIKR_IS'!$A:$K,COLUMN(E2),FALSE),"0")</f>
        <v>0</v>
      </c>
      <c r="F5" s="88" t="str">
        <f>IFERROR(VLOOKUP("FFO",'7.TIKR_IS'!$A:$K,COLUMN(F2),FALSE),"0")</f>
        <v>0</v>
      </c>
      <c r="G5" s="88" t="str">
        <f>IFERROR(VLOOKUP("FFO",'7.TIKR_IS'!$A:$K,COLUMN(G2),FALSE),"0")</f>
        <v>0</v>
      </c>
      <c r="H5" s="88" t="str">
        <f>IFERROR(VLOOKUP("FFO",'7.TIKR_IS'!$A:$K,COLUMN(H2),FALSE),"0")</f>
        <v>0</v>
      </c>
      <c r="I5" s="88" t="str">
        <f>IFERROR(VLOOKUP("FFO",'7.TIKR_IS'!$A:$K,COLUMN(I2),FALSE),"0")</f>
        <v>0</v>
      </c>
      <c r="J5" s="88" t="str">
        <f>IFERROR(VLOOKUP("FFO",'7.TIKR_IS'!$A:$K,COLUMN(J2),FALSE),"0")</f>
        <v>0</v>
      </c>
      <c r="K5" s="88" t="str">
        <f>IFERROR(VLOOKUP("FFO",'7.TIKR_IS'!$A:$K,COLUMN(K2),FALSE),"0")</f>
        <v>0</v>
      </c>
      <c r="L5" s="100" t="str">
        <f>IFERROR(L3*$T$4,"")</f>
        <v/>
      </c>
      <c r="M5" s="85" t="str">
        <f>IFERROR(M3*$T$4,"")</f>
        <v/>
      </c>
      <c r="N5" s="85" t="str">
        <f>IFERROR(N3*$T$4,"")</f>
        <v/>
      </c>
      <c r="O5" s="85" t="str">
        <f>IFERROR(O3*$T$4,"")</f>
        <v/>
      </c>
      <c r="P5" s="108" t="str">
        <f>IFERROR(P3*$T$4,"")</f>
        <v/>
      </c>
      <c r="Q5" s="6"/>
      <c r="R5" s="66" t="s">
        <v>149</v>
      </c>
      <c r="S5" s="56" t="str">
        <f>IFERROR(AVERAGE(ABS(SUM(B7:K7))/SUM(B3:K3)),"")</f>
        <v/>
      </c>
      <c r="T5" s="152" t="str">
        <f>S5</f>
        <v/>
      </c>
      <c r="U5" s="26"/>
      <c r="V5" s="26"/>
      <c r="W5" s="26"/>
    </row>
    <row r="6" spans="1:23" ht="24.95" customHeight="1" thickBot="1" x14ac:dyDescent="0.3">
      <c r="A6" s="69" t="s">
        <v>136</v>
      </c>
      <c r="B6" s="99" t="str">
        <f t="shared" ref="B6:P6" si="5">IFERROR((B5/B3),"")</f>
        <v/>
      </c>
      <c r="C6" s="10" t="str">
        <f t="shared" si="5"/>
        <v/>
      </c>
      <c r="D6" s="10" t="str">
        <f t="shared" si="5"/>
        <v/>
      </c>
      <c r="E6" s="10" t="str">
        <f t="shared" si="5"/>
        <v/>
      </c>
      <c r="F6" s="10" t="str">
        <f t="shared" si="5"/>
        <v/>
      </c>
      <c r="G6" s="10" t="str">
        <f t="shared" si="5"/>
        <v/>
      </c>
      <c r="H6" s="10" t="str">
        <f t="shared" si="5"/>
        <v/>
      </c>
      <c r="I6" s="10" t="str">
        <f t="shared" si="5"/>
        <v/>
      </c>
      <c r="J6" s="10" t="str">
        <f t="shared" si="5"/>
        <v/>
      </c>
      <c r="K6" s="10" t="str">
        <f t="shared" si="5"/>
        <v/>
      </c>
      <c r="L6" s="99" t="str">
        <f t="shared" si="5"/>
        <v/>
      </c>
      <c r="M6" s="10" t="str">
        <f t="shared" si="5"/>
        <v/>
      </c>
      <c r="N6" s="10" t="str">
        <f t="shared" si="5"/>
        <v/>
      </c>
      <c r="O6" s="10" t="str">
        <f t="shared" si="5"/>
        <v/>
      </c>
      <c r="P6" s="107" t="str">
        <f t="shared" si="5"/>
        <v/>
      </c>
      <c r="Q6" s="6"/>
      <c r="R6" s="67" t="s">
        <v>52</v>
      </c>
      <c r="S6" s="57" t="str">
        <f>IFERROR(AVERAGE(C12:K12),"")</f>
        <v/>
      </c>
      <c r="T6" s="153" t="str">
        <f>S6</f>
        <v/>
      </c>
      <c r="U6" s="26"/>
      <c r="V6" s="26"/>
      <c r="W6" s="26"/>
    </row>
    <row r="7" spans="1:23" ht="24.95" customHeight="1" thickTop="1" thickBot="1" x14ac:dyDescent="0.3">
      <c r="A7" s="109" t="s">
        <v>151</v>
      </c>
      <c r="B7" s="249"/>
      <c r="C7" s="250"/>
      <c r="D7" s="250"/>
      <c r="E7" s="250"/>
      <c r="F7" s="250"/>
      <c r="G7" s="250"/>
      <c r="H7" s="250"/>
      <c r="I7" s="250"/>
      <c r="J7" s="250"/>
      <c r="K7" s="251"/>
      <c r="L7" s="248" t="str">
        <f>IFERROR(-$T$5*L3,"")</f>
        <v/>
      </c>
      <c r="M7" s="87" t="str">
        <f t="shared" ref="M7:P7" si="6">IFERROR(-$T$5*M3,"")</f>
        <v/>
      </c>
      <c r="N7" s="87" t="str">
        <f t="shared" si="6"/>
        <v/>
      </c>
      <c r="O7" s="87" t="str">
        <f t="shared" si="6"/>
        <v/>
      </c>
      <c r="P7" s="110" t="str">
        <f t="shared" si="6"/>
        <v/>
      </c>
      <c r="Q7" s="6"/>
      <c r="R7" s="6"/>
      <c r="S7" s="7"/>
      <c r="T7" s="7"/>
      <c r="U7" s="26"/>
      <c r="V7" s="26"/>
      <c r="W7" s="26"/>
    </row>
    <row r="8" spans="1:23" ht="24.95" customHeight="1" thickTop="1" x14ac:dyDescent="0.25">
      <c r="A8" s="69" t="s">
        <v>147</v>
      </c>
      <c r="B8" s="99" t="str">
        <f>IFERROR(-B7/B3,"")</f>
        <v/>
      </c>
      <c r="C8" s="201" t="str">
        <f t="shared" ref="C8:P8" si="7">IFERROR(-C7/C3,"")</f>
        <v/>
      </c>
      <c r="D8" s="201" t="str">
        <f t="shared" si="7"/>
        <v/>
      </c>
      <c r="E8" s="201" t="str">
        <f t="shared" si="7"/>
        <v/>
      </c>
      <c r="F8" s="201" t="str">
        <f t="shared" si="7"/>
        <v/>
      </c>
      <c r="G8" s="201" t="str">
        <f t="shared" si="7"/>
        <v/>
      </c>
      <c r="H8" s="201" t="str">
        <f t="shared" si="7"/>
        <v/>
      </c>
      <c r="I8" s="201" t="str">
        <f t="shared" si="7"/>
        <v/>
      </c>
      <c r="J8" s="201" t="str">
        <f t="shared" si="7"/>
        <v/>
      </c>
      <c r="K8" s="201" t="str">
        <f t="shared" si="7"/>
        <v/>
      </c>
      <c r="L8" s="99" t="str">
        <f t="shared" si="7"/>
        <v/>
      </c>
      <c r="M8" s="201" t="str">
        <f t="shared" si="7"/>
        <v/>
      </c>
      <c r="N8" s="201" t="str">
        <f t="shared" si="7"/>
        <v/>
      </c>
      <c r="O8" s="201" t="str">
        <f t="shared" si="7"/>
        <v/>
      </c>
      <c r="P8" s="107" t="str">
        <f t="shared" si="7"/>
        <v/>
      </c>
      <c r="Q8" s="6"/>
      <c r="R8" s="6"/>
      <c r="S8" s="7"/>
      <c r="T8" s="7"/>
      <c r="U8" s="26"/>
      <c r="V8" s="26"/>
      <c r="W8" s="26"/>
    </row>
    <row r="9" spans="1:23" ht="24.95" customHeight="1" x14ac:dyDescent="0.25">
      <c r="A9" s="200" t="s">
        <v>137</v>
      </c>
      <c r="B9" s="103">
        <f>B5+B7</f>
        <v>0</v>
      </c>
      <c r="C9" s="87">
        <f>C5+C7</f>
        <v>0</v>
      </c>
      <c r="D9" s="87">
        <f t="shared" ref="D9:K9" si="8">D5+D7</f>
        <v>0</v>
      </c>
      <c r="E9" s="87">
        <f t="shared" si="8"/>
        <v>0</v>
      </c>
      <c r="F9" s="87">
        <f t="shared" si="8"/>
        <v>0</v>
      </c>
      <c r="G9" s="87">
        <f t="shared" si="8"/>
        <v>0</v>
      </c>
      <c r="H9" s="87">
        <f t="shared" si="8"/>
        <v>0</v>
      </c>
      <c r="I9" s="87">
        <f t="shared" si="8"/>
        <v>0</v>
      </c>
      <c r="J9" s="87">
        <f t="shared" si="8"/>
        <v>0</v>
      </c>
      <c r="K9" s="87">
        <f t="shared" si="8"/>
        <v>0</v>
      </c>
      <c r="L9" s="203" t="str">
        <f>IFERROR(L5+L7,"")</f>
        <v/>
      </c>
      <c r="M9" s="204" t="str">
        <f t="shared" ref="M9:P9" si="9">IFERROR(M5+M7,"")</f>
        <v/>
      </c>
      <c r="N9" s="204" t="str">
        <f t="shared" si="9"/>
        <v/>
      </c>
      <c r="O9" s="204" t="str">
        <f t="shared" si="9"/>
        <v/>
      </c>
      <c r="P9" s="205" t="str">
        <f t="shared" si="9"/>
        <v/>
      </c>
      <c r="Q9" s="6"/>
      <c r="R9" s="6"/>
      <c r="S9" s="6"/>
      <c r="T9" s="237" t="s">
        <v>117</v>
      </c>
      <c r="U9" s="26"/>
      <c r="V9" s="26"/>
      <c r="W9" s="26"/>
    </row>
    <row r="10" spans="1:23" ht="24.95" customHeight="1" x14ac:dyDescent="0.25">
      <c r="A10" s="69" t="s">
        <v>138</v>
      </c>
      <c r="B10" s="99" t="str">
        <f>IFERROR(B9/B3,"")</f>
        <v/>
      </c>
      <c r="C10" s="201" t="str">
        <f t="shared" ref="C10:P10" si="10">IFERROR(C9/C3,"")</f>
        <v/>
      </c>
      <c r="D10" s="201" t="str">
        <f t="shared" si="10"/>
        <v/>
      </c>
      <c r="E10" s="201" t="str">
        <f t="shared" si="10"/>
        <v/>
      </c>
      <c r="F10" s="201" t="str">
        <f t="shared" si="10"/>
        <v/>
      </c>
      <c r="G10" s="201" t="str">
        <f t="shared" si="10"/>
        <v/>
      </c>
      <c r="H10" s="201" t="str">
        <f t="shared" si="10"/>
        <v/>
      </c>
      <c r="I10" s="201" t="str">
        <f t="shared" si="10"/>
        <v/>
      </c>
      <c r="J10" s="201" t="str">
        <f t="shared" si="10"/>
        <v/>
      </c>
      <c r="K10" s="201" t="str">
        <f t="shared" si="10"/>
        <v/>
      </c>
      <c r="L10" s="99" t="str">
        <f t="shared" si="10"/>
        <v/>
      </c>
      <c r="M10" s="201" t="str">
        <f t="shared" si="10"/>
        <v/>
      </c>
      <c r="N10" s="201" t="str">
        <f t="shared" si="10"/>
        <v/>
      </c>
      <c r="O10" s="201" t="str">
        <f t="shared" si="10"/>
        <v/>
      </c>
      <c r="P10" s="107" t="str">
        <f t="shared" si="10"/>
        <v/>
      </c>
      <c r="Q10" s="6"/>
      <c r="R10" s="6"/>
      <c r="S10" s="6"/>
      <c r="T10" s="237"/>
      <c r="U10" s="26"/>
      <c r="V10" s="26"/>
      <c r="W10" s="26"/>
    </row>
    <row r="11" spans="1:23" ht="24.95" customHeight="1" x14ac:dyDescent="0.25">
      <c r="A11" s="109" t="s">
        <v>85</v>
      </c>
      <c r="B11" s="104" t="str">
        <f>IFERROR(VLOOKUP("*Diluted Shares Outstanding*",'7.TIKR_IS'!$A:$K,COLUMN(B11),FALSE),"0")</f>
        <v>0</v>
      </c>
      <c r="C11" s="14" t="str">
        <f>IFERROR(VLOOKUP("*Diluted Shares Outstanding*",'7.TIKR_IS'!$A:$K,COLUMN(C11),FALSE),"0")</f>
        <v>0</v>
      </c>
      <c r="D11" s="14" t="str">
        <f>IFERROR(VLOOKUP("*Diluted Shares Outstanding*",'7.TIKR_IS'!$A:$K,COLUMN(D11),FALSE),"0")</f>
        <v>0</v>
      </c>
      <c r="E11" s="14" t="str">
        <f>IFERROR(VLOOKUP("*Diluted Shares Outstanding*",'7.TIKR_IS'!$A:$K,COLUMN(E11),FALSE),"0")</f>
        <v>0</v>
      </c>
      <c r="F11" s="14" t="str">
        <f>IFERROR(VLOOKUP("*Diluted Shares Outstanding*",'7.TIKR_IS'!$A:$K,COLUMN(F11),FALSE),"0")</f>
        <v>0</v>
      </c>
      <c r="G11" s="14" t="str">
        <f>IFERROR(VLOOKUP("*Diluted Shares Outstanding*",'7.TIKR_IS'!$A:$K,COLUMN(G11),FALSE),"0")</f>
        <v>0</v>
      </c>
      <c r="H11" s="14" t="str">
        <f>IFERROR(VLOOKUP("*Diluted Shares Outstanding*",'7.TIKR_IS'!$A:$K,COLUMN(H11),FALSE),"0")</f>
        <v>0</v>
      </c>
      <c r="I11" s="14" t="str">
        <f>IFERROR(VLOOKUP("*Diluted Shares Outstanding*",'7.TIKR_IS'!$A:$K,COLUMN(I11),FALSE),"0")</f>
        <v>0</v>
      </c>
      <c r="J11" s="14" t="str">
        <f>IFERROR(VLOOKUP("*Diluted Shares Outstanding*",'7.TIKR_IS'!$A:$K,COLUMN(J11),FALSE),"0")</f>
        <v>0</v>
      </c>
      <c r="K11" s="14" t="str">
        <f>IFERROR(VLOOKUP("*Diluted Shares Outstanding*",'7.TIKR_IS'!$A:$K,COLUMN(K11),FALSE),"0")</f>
        <v>0</v>
      </c>
      <c r="L11" s="160" t="str">
        <f>IFERROR(K11*(1+$T$6),"")</f>
        <v/>
      </c>
      <c r="M11" s="11" t="str">
        <f>IFERROR(L11*(1+$T$6),"")</f>
        <v/>
      </c>
      <c r="N11" s="11" t="str">
        <f>IFERROR(M11*(1+$T$6),"")</f>
        <v/>
      </c>
      <c r="O11" s="11" t="str">
        <f>IFERROR(N11*(1+$T$6),"")</f>
        <v/>
      </c>
      <c r="P11" s="111" t="str">
        <f>IFERROR(O11*(1+$T$6),"")</f>
        <v/>
      </c>
      <c r="Q11" s="6"/>
      <c r="R11" s="6"/>
      <c r="S11" s="7"/>
      <c r="T11" s="7"/>
      <c r="U11" s="26"/>
      <c r="V11" s="26"/>
      <c r="W11" s="26"/>
    </row>
    <row r="12" spans="1:23" ht="24.95" customHeight="1" x14ac:dyDescent="0.25">
      <c r="A12" s="69" t="s">
        <v>6</v>
      </c>
      <c r="B12" s="99"/>
      <c r="C12" s="10" t="str">
        <f t="shared" ref="C12:P12" si="11">IFERROR((C11-B11)/B11,"")</f>
        <v/>
      </c>
      <c r="D12" s="10" t="str">
        <f t="shared" si="11"/>
        <v/>
      </c>
      <c r="E12" s="10" t="str">
        <f t="shared" si="11"/>
        <v/>
      </c>
      <c r="F12" s="10" t="str">
        <f t="shared" si="11"/>
        <v/>
      </c>
      <c r="G12" s="10" t="str">
        <f t="shared" si="11"/>
        <v/>
      </c>
      <c r="H12" s="10" t="str">
        <f t="shared" si="11"/>
        <v/>
      </c>
      <c r="I12" s="10" t="str">
        <f t="shared" si="11"/>
        <v/>
      </c>
      <c r="J12" s="10" t="str">
        <f t="shared" si="11"/>
        <v/>
      </c>
      <c r="K12" s="10" t="str">
        <f t="shared" si="11"/>
        <v/>
      </c>
      <c r="L12" s="99" t="str">
        <f t="shared" si="11"/>
        <v/>
      </c>
      <c r="M12" s="10" t="str">
        <f t="shared" si="11"/>
        <v/>
      </c>
      <c r="N12" s="10" t="str">
        <f t="shared" si="11"/>
        <v/>
      </c>
      <c r="O12" s="10" t="str">
        <f t="shared" si="11"/>
        <v/>
      </c>
      <c r="P12" s="107" t="str">
        <f t="shared" si="11"/>
        <v/>
      </c>
      <c r="Q12" s="6"/>
      <c r="R12" s="6"/>
      <c r="S12" s="7"/>
      <c r="T12" s="7"/>
      <c r="U12" s="26"/>
      <c r="V12" s="26"/>
      <c r="W12" s="26"/>
    </row>
    <row r="13" spans="1:23" ht="15.95" customHeight="1" x14ac:dyDescent="0.3">
      <c r="U13" s="26"/>
      <c r="V13" s="26"/>
      <c r="W13" s="26"/>
    </row>
    <row r="14" spans="1:23" ht="20.25" x14ac:dyDescent="0.35">
      <c r="B14" s="239" t="s">
        <v>163</v>
      </c>
      <c r="C14" s="239"/>
      <c r="D14" s="239"/>
      <c r="E14" s="239"/>
      <c r="F14" s="239"/>
      <c r="G14" s="239"/>
      <c r="H14" s="239"/>
      <c r="I14" s="239"/>
      <c r="J14" s="239"/>
      <c r="K14" s="239"/>
      <c r="L14" s="239"/>
      <c r="M14" s="239"/>
      <c r="N14" s="239"/>
      <c r="O14" s="239"/>
      <c r="P14" s="239"/>
      <c r="Q14" s="239"/>
      <c r="R14" s="239"/>
      <c r="S14" s="239"/>
      <c r="U14" s="26"/>
      <c r="V14" s="26"/>
      <c r="W14" s="26"/>
    </row>
    <row r="15" spans="1:23" ht="21" customHeight="1" x14ac:dyDescent="0.3">
      <c r="U15" s="26"/>
      <c r="V15" s="26"/>
      <c r="W15" s="26"/>
    </row>
    <row r="16" spans="1:23" s="23" customFormat="1" ht="166.5" customHeight="1" x14ac:dyDescent="0.25">
      <c r="A16" s="6"/>
      <c r="B16" s="238" t="s">
        <v>164</v>
      </c>
      <c r="C16" s="238"/>
      <c r="D16" s="238"/>
      <c r="E16" s="238"/>
      <c r="F16" s="238"/>
      <c r="G16" s="238"/>
      <c r="H16" s="238"/>
      <c r="I16" s="238"/>
      <c r="J16" s="238"/>
      <c r="K16" s="238"/>
      <c r="L16" s="238"/>
      <c r="M16" s="238"/>
      <c r="N16" s="238"/>
      <c r="O16" s="238"/>
      <c r="P16" s="238"/>
      <c r="Q16" s="238"/>
      <c r="R16" s="238"/>
      <c r="S16" s="238"/>
      <c r="U16" s="51"/>
      <c r="V16" s="51"/>
      <c r="W16" s="51"/>
    </row>
    <row r="17" spans="3:23" s="23" customFormat="1" ht="20.100000000000001" customHeight="1" x14ac:dyDescent="0.25">
      <c r="C17" s="206"/>
      <c r="D17" s="206"/>
      <c r="E17" s="206"/>
      <c r="F17" s="206"/>
      <c r="G17" s="206"/>
      <c r="H17" s="206"/>
      <c r="I17" s="206"/>
      <c r="J17" s="206"/>
      <c r="K17" s="206"/>
      <c r="U17" s="51"/>
      <c r="V17" s="51"/>
      <c r="W17" s="51"/>
    </row>
    <row r="18" spans="3:23" s="23" customFormat="1" ht="20.100000000000001" hidden="1" customHeight="1" x14ac:dyDescent="0.25">
      <c r="U18" s="51"/>
      <c r="V18" s="51"/>
      <c r="W18" s="51"/>
    </row>
    <row r="19" spans="3:23" s="23" customFormat="1" ht="20.100000000000001" hidden="1" customHeight="1" x14ac:dyDescent="0.25">
      <c r="U19" s="51"/>
      <c r="V19" s="51"/>
      <c r="W19" s="51"/>
    </row>
    <row r="20" spans="3:23" ht="15.95" hidden="1" customHeight="1" x14ac:dyDescent="0.3">
      <c r="U20" s="26"/>
      <c r="V20" s="26"/>
      <c r="W20" s="26"/>
    </row>
    <row r="21" spans="3:23" ht="15.95" hidden="1" customHeight="1" x14ac:dyDescent="0.3">
      <c r="U21" s="26"/>
      <c r="V21" s="26"/>
      <c r="W21" s="26"/>
    </row>
    <row r="22" spans="3:23" ht="15.95" hidden="1" customHeight="1" x14ac:dyDescent="0.3">
      <c r="U22" s="26"/>
      <c r="V22" s="26"/>
      <c r="W22" s="26"/>
    </row>
    <row r="23" spans="3:23" ht="15.95" hidden="1" customHeight="1" x14ac:dyDescent="0.3">
      <c r="U23" s="26"/>
      <c r="V23" s="26"/>
      <c r="W23" s="26"/>
    </row>
    <row r="24" spans="3:23" ht="15.95" hidden="1" customHeight="1" x14ac:dyDescent="0.3">
      <c r="U24" s="26"/>
      <c r="V24" s="26"/>
      <c r="W24" s="26"/>
    </row>
    <row r="25" spans="3:23" ht="15.95" hidden="1" customHeight="1" x14ac:dyDescent="0.3">
      <c r="U25" s="26"/>
      <c r="V25" s="26"/>
      <c r="W25" s="26"/>
    </row>
    <row r="45" spans="1:1" hidden="1" x14ac:dyDescent="0.3">
      <c r="A45" s="52"/>
    </row>
  </sheetData>
  <mergeCells count="4">
    <mergeCell ref="J1:M1"/>
    <mergeCell ref="T9:T10"/>
    <mergeCell ref="B16:S16"/>
    <mergeCell ref="B14:S14"/>
  </mergeCells>
  <pageMargins left="0.7" right="0.7" top="0.75" bottom="0.75" header="0.3" footer="0.3"/>
  <pageSetup paperSize="9" orientation="portrait" r:id="rId1"/>
  <ignoredErrors>
    <ignoredError sqref="M11:P11 L11" formula="1"/>
    <ignoredError sqref="I5:K6 I9:K9 I3:K4 I12:K12 I11:K11 I10:K10 I8:K8 I2:K2" calculatedColumn="1"/>
    <ignoredError sqref="C11 D11:H11" formula="1"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showGridLines="0" zoomScale="85" zoomScaleNormal="85"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7.25" zeroHeight="1" x14ac:dyDescent="0.3"/>
  <cols>
    <col min="1" max="1" width="51.7109375" style="19" bestFit="1" customWidth="1"/>
    <col min="2" max="2" width="14.7109375" style="5" customWidth="1"/>
    <col min="3" max="3" width="17" style="5" customWidth="1"/>
    <col min="4" max="18" width="14.7109375" style="5" customWidth="1"/>
    <col min="19" max="19" width="24.7109375" style="5" hidden="1" customWidth="1"/>
    <col min="20" max="20" width="15.5703125" style="5" hidden="1" customWidth="1"/>
    <col min="21" max="21" width="14.7109375" style="5" hidden="1" customWidth="1"/>
    <col min="22" max="22" width="16.42578125" style="5" hidden="1" customWidth="1"/>
    <col min="23" max="16384" width="9.140625" style="4" hidden="1"/>
  </cols>
  <sheetData>
    <row r="1" spans="1:22" ht="60" customHeight="1" x14ac:dyDescent="0.3">
      <c r="B1" s="16" t="s">
        <v>75</v>
      </c>
      <c r="V1" s="20"/>
    </row>
    <row r="2" spans="1:22" s="6" customFormat="1" ht="39.950000000000003" customHeight="1" x14ac:dyDescent="0.25">
      <c r="A2" s="96" t="s">
        <v>79</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8" t="str">
        <f>'1.FFO'!L$2</f>
        <v/>
      </c>
      <c r="M2" s="8" t="str">
        <f>'1.FFO'!M$2</f>
        <v/>
      </c>
      <c r="N2" s="8" t="str">
        <f>'1.FFO'!N$2</f>
        <v/>
      </c>
      <c r="O2" s="8" t="str">
        <f>'1.FFO'!O$2</f>
        <v/>
      </c>
      <c r="P2" s="8" t="str">
        <f>'1.FFO'!P$2</f>
        <v/>
      </c>
      <c r="Q2" s="15"/>
      <c r="R2" s="15"/>
    </row>
    <row r="3" spans="1:22" s="6" customFormat="1" ht="24.95" customHeight="1" x14ac:dyDescent="0.25">
      <c r="A3" s="61" t="s">
        <v>146</v>
      </c>
      <c r="B3" s="112">
        <f>'1.FFO'!B9</f>
        <v>0</v>
      </c>
      <c r="C3" s="89">
        <f>'1.FFO'!C9</f>
        <v>0</v>
      </c>
      <c r="D3" s="89">
        <f>'1.FFO'!D9</f>
        <v>0</v>
      </c>
      <c r="E3" s="89">
        <f>'1.FFO'!E9</f>
        <v>0</v>
      </c>
      <c r="F3" s="89">
        <f>'1.FFO'!F9</f>
        <v>0</v>
      </c>
      <c r="G3" s="89">
        <f>'1.FFO'!G9</f>
        <v>0</v>
      </c>
      <c r="H3" s="89">
        <f>'1.FFO'!H9</f>
        <v>0</v>
      </c>
      <c r="I3" s="89">
        <f>'1.FFO'!I9</f>
        <v>0</v>
      </c>
      <c r="J3" s="89">
        <f>'1.FFO'!J9</f>
        <v>0</v>
      </c>
      <c r="K3" s="89">
        <f>'1.FFO'!K9</f>
        <v>0</v>
      </c>
      <c r="L3" s="103" t="str">
        <f>IFERROR('1.FFO'!L5*PRODUCT(1-'1.FFO'!#REF!),"")</f>
        <v/>
      </c>
      <c r="M3" s="87" t="str">
        <f>IFERROR('1.FFO'!M5*PRODUCT(1-'1.FFO'!#REF!),"")</f>
        <v/>
      </c>
      <c r="N3" s="87" t="str">
        <f>IFERROR('1.FFO'!N5*PRODUCT(1-'1.FFO'!#REF!),"")</f>
        <v/>
      </c>
      <c r="O3" s="87" t="str">
        <f>IFERROR('1.FFO'!O5*PRODUCT(1-'1.FFO'!#REF!),"")</f>
        <v/>
      </c>
      <c r="P3" s="110" t="str">
        <f>IFERROR('1.FFO'!P5*PRODUCT(1-'1.FFO'!#REF!),"")</f>
        <v/>
      </c>
      <c r="Q3" s="87"/>
      <c r="R3" s="87"/>
      <c r="V3" s="11"/>
    </row>
    <row r="4" spans="1:22" s="6" customFormat="1" ht="24.95" customHeight="1" x14ac:dyDescent="0.25">
      <c r="A4" s="97" t="s">
        <v>87</v>
      </c>
      <c r="B4" s="101" t="str">
        <f>IFERROR(VLOOKUP("Cash And Equivalents*",'8.TIKR_BS'!$A:$K,COLUMN(B4),FALSE),"0")</f>
        <v>0</v>
      </c>
      <c r="C4" s="86" t="str">
        <f>IFERROR(VLOOKUP("Cash And Equivalents*",'8.TIKR_BS'!$A:$K,COLUMN(C4),FALSE),"0")</f>
        <v>0</v>
      </c>
      <c r="D4" s="86" t="str">
        <f>IFERROR(VLOOKUP("Cash And Equivalents*",'8.TIKR_BS'!$A:$K,COLUMN(D4),FALSE),"0")</f>
        <v>0</v>
      </c>
      <c r="E4" s="86" t="str">
        <f>IFERROR(VLOOKUP("Cash And Equivalents*",'8.TIKR_BS'!$A:$K,COLUMN(E4),FALSE),"0")</f>
        <v>0</v>
      </c>
      <c r="F4" s="86" t="str">
        <f>IFERROR(VLOOKUP("Cash And Equivalents*",'8.TIKR_BS'!$A:$K,COLUMN(F4),FALSE),"0")</f>
        <v>0</v>
      </c>
      <c r="G4" s="86" t="str">
        <f>IFERROR(VLOOKUP("Cash And Equivalents*",'8.TIKR_BS'!$A:$K,COLUMN(G4),FALSE),"0")</f>
        <v>0</v>
      </c>
      <c r="H4" s="86" t="str">
        <f>IFERROR(VLOOKUP("Cash And Equivalents*",'8.TIKR_BS'!$A:$K,COLUMN(H4),FALSE),"0")</f>
        <v>0</v>
      </c>
      <c r="I4" s="86" t="str">
        <f>IFERROR(VLOOKUP("Cash And Equivalents*",'8.TIKR_BS'!$A:$K,COLUMN(I4),FALSE),"0")</f>
        <v>0</v>
      </c>
      <c r="J4" s="86" t="str">
        <f>IFERROR(VLOOKUP("Cash And Equivalents*",'8.TIKR_BS'!$A:$K,COLUMN(J4),FALSE),"0")</f>
        <v>0</v>
      </c>
      <c r="K4" s="86" t="str">
        <f>IFERROR(VLOOKUP("Cash And Equivalents*",'8.TIKR_BS'!$A:$K,COLUMN(K4),FALSE),"0")</f>
        <v>0</v>
      </c>
      <c r="L4" s="103" t="str">
        <f>IFERROR(K4/'1.FFO'!K3*'1.FFO'!L3,"")</f>
        <v/>
      </c>
      <c r="M4" s="87" t="str">
        <f>IFERROR(L4/'1.FFO'!L3*'1.FFO'!M3,"")</f>
        <v/>
      </c>
      <c r="N4" s="87" t="str">
        <f>IFERROR(M4/'1.FFO'!M3*'1.FFO'!N3,"")</f>
        <v/>
      </c>
      <c r="O4" s="87" t="str">
        <f>IFERROR(N4/'1.FFO'!N3*'1.FFO'!O3,"")</f>
        <v/>
      </c>
      <c r="P4" s="110" t="str">
        <f>IFERROR(O4/'1.FFO'!O3*'1.FFO'!P3,"")</f>
        <v/>
      </c>
      <c r="Q4" s="87"/>
      <c r="R4" s="87"/>
      <c r="V4" s="11"/>
    </row>
    <row r="5" spans="1:22" s="6" customFormat="1" ht="24.95" customHeight="1" x14ac:dyDescent="0.25">
      <c r="A5" s="97" t="s">
        <v>8</v>
      </c>
      <c r="B5" s="101" t="str">
        <f>IFERROR(VLOOKUP("Total Cash And Short Term Investments*",'8.TIKR_BS'!$A:$K,COLUMN(B5),FALSE)-B4,"0")</f>
        <v>0</v>
      </c>
      <c r="C5" s="86" t="str">
        <f>IFERROR(VLOOKUP("Total Cash And Short Term Investments*",'8.TIKR_BS'!$A:$K,COLUMN(C5),FALSE)-C4,"0")</f>
        <v>0</v>
      </c>
      <c r="D5" s="86" t="str">
        <f>IFERROR(VLOOKUP("Total Cash And Short Term Investments*",'8.TIKR_BS'!$A:$K,COLUMN(D5),FALSE)-D4,"0")</f>
        <v>0</v>
      </c>
      <c r="E5" s="86" t="str">
        <f>IFERROR(VLOOKUP("Total Cash And Short Term Investments*",'8.TIKR_BS'!$A:$K,COLUMN(E5),FALSE)-E4,"0")</f>
        <v>0</v>
      </c>
      <c r="F5" s="86" t="str">
        <f>IFERROR(VLOOKUP("Total Cash And Short Term Investments*",'8.TIKR_BS'!$A:$K,COLUMN(F5),FALSE)-F4,"0")</f>
        <v>0</v>
      </c>
      <c r="G5" s="86" t="str">
        <f>IFERROR(VLOOKUP("Total Cash And Short Term Investments*",'8.TIKR_BS'!$A:$K,COLUMN(G5),FALSE)-G4,"0")</f>
        <v>0</v>
      </c>
      <c r="H5" s="86" t="str">
        <f>IFERROR(VLOOKUP("Total Cash And Short Term Investments*",'8.TIKR_BS'!$A:$K,COLUMN(H5),FALSE)-H4,"0")</f>
        <v>0</v>
      </c>
      <c r="I5" s="86" t="str">
        <f>IFERROR(VLOOKUP("Total Cash And Short Term Investments*",'8.TIKR_BS'!$A:$K,COLUMN(I5),FALSE)-I4,"0")</f>
        <v>0</v>
      </c>
      <c r="J5" s="86" t="str">
        <f>IFERROR(VLOOKUP("Total Cash And Short Term Investments*",'8.TIKR_BS'!$A:$K,COLUMN(J5),FALSE)-J4,"0")</f>
        <v>0</v>
      </c>
      <c r="K5" s="86" t="str">
        <f>IFERROR(VLOOKUP("Total Cash And Short Term Investments*",'8.TIKR_BS'!$A:$K,COLUMN(K5),FALSE)-K4,"0")</f>
        <v>0</v>
      </c>
      <c r="L5" s="103" t="str">
        <f>IFERROR(K5/'1.FFO'!K3*'1.FFO'!L3,"")</f>
        <v/>
      </c>
      <c r="M5" s="87" t="str">
        <f>IFERROR(L5/'1.FFO'!L3*'1.FFO'!M3,"")</f>
        <v/>
      </c>
      <c r="N5" s="87" t="str">
        <f>IFERROR(M5/'1.FFO'!M3*'1.FFO'!N3,"")</f>
        <v/>
      </c>
      <c r="O5" s="87" t="str">
        <f>IFERROR(N5/'1.FFO'!N3*'1.FFO'!O3,"")</f>
        <v/>
      </c>
      <c r="P5" s="110" t="str">
        <f>IFERROR(O5/'1.FFO'!O3*'1.FFO'!P3,"")</f>
        <v/>
      </c>
      <c r="Q5" s="87"/>
      <c r="R5" s="87"/>
      <c r="V5" s="11"/>
    </row>
    <row r="6" spans="1:22" s="6" customFormat="1" ht="24.75" customHeight="1" x14ac:dyDescent="0.25">
      <c r="A6" s="97" t="s">
        <v>50</v>
      </c>
      <c r="B6" s="101">
        <f>IFERROR(VLOOKUP("Short-term Borrowings*",'8.TIKR_BS'!$A:$K,COLUMN(B6),FALSE),"0")+IFERROR(VLOOKUP("Current Portion of Long-Term Debt*",'8.TIKR_BS'!$A:$K,COLUMN(B6),FALSE),"0")</f>
        <v>0</v>
      </c>
      <c r="C6" s="86">
        <f>IFERROR(VLOOKUP("Short-term Borrowings*",'8.TIKR_BS'!$A:$K,COLUMN(C6),FALSE),"0")+IFERROR(VLOOKUP("Current Portion of Long-Term Debt*",'8.TIKR_BS'!$A:$K,COLUMN(C6),FALSE),"0")</f>
        <v>0</v>
      </c>
      <c r="D6" s="86">
        <f>IFERROR(VLOOKUP("Short-term Borrowings*",'8.TIKR_BS'!$A:$K,COLUMN(D6),FALSE),"0")+IFERROR(VLOOKUP("Current Portion of Long-Term Debt*",'8.TIKR_BS'!$A:$K,COLUMN(D6),FALSE),"0")</f>
        <v>0</v>
      </c>
      <c r="E6" s="86">
        <f>IFERROR(VLOOKUP("Short-term Borrowings*",'8.TIKR_BS'!$A:$K,COLUMN(E6),FALSE),"0")+IFERROR(VLOOKUP("Current Portion of Long-Term Debt*",'8.TIKR_BS'!$A:$K,COLUMN(E6),FALSE),"0")</f>
        <v>0</v>
      </c>
      <c r="F6" s="86">
        <f>IFERROR(VLOOKUP("Short-term Borrowings*",'8.TIKR_BS'!$A:$K,COLUMN(F6),FALSE),"0")+IFERROR(VLOOKUP("Current Portion of Long-Term Debt*",'8.TIKR_BS'!$A:$K,COLUMN(F6),FALSE),"0")</f>
        <v>0</v>
      </c>
      <c r="G6" s="86">
        <f>IFERROR(VLOOKUP("Short-term Borrowings*",'8.TIKR_BS'!$A:$K,COLUMN(G6),FALSE),"0")+IFERROR(VLOOKUP("Current Portion of Long-Term Debt*",'8.TIKR_BS'!$A:$K,COLUMN(G6),FALSE),"0")</f>
        <v>0</v>
      </c>
      <c r="H6" s="86">
        <f>IFERROR(VLOOKUP("Short-term Borrowings*",'8.TIKR_BS'!$A:$K,COLUMN(H6),FALSE),"0")+IFERROR(VLOOKUP("Current Portion of Long-Term Debt*",'8.TIKR_BS'!$A:$K,COLUMN(H6),FALSE),"0")</f>
        <v>0</v>
      </c>
      <c r="I6" s="86">
        <f>IFERROR(VLOOKUP("Short-term Borrowings*",'8.TIKR_BS'!$A:$K,COLUMN(I6),FALSE),"0")+IFERROR(VLOOKUP("Current Portion of Long-Term Debt*",'8.TIKR_BS'!$A:$K,COLUMN(I6),FALSE),"0")</f>
        <v>0</v>
      </c>
      <c r="J6" s="86">
        <f>IFERROR(VLOOKUP("Short-term Borrowings*",'8.TIKR_BS'!$A:$K,COLUMN(J6),FALSE),"0")+IFERROR(VLOOKUP("Current Portion of Long-Term Debt*",'8.TIKR_BS'!$A:$K,COLUMN(J6),FALSE),"0")</f>
        <v>0</v>
      </c>
      <c r="K6" s="86">
        <f>IFERROR(VLOOKUP("Short-term Borrowings*",'8.TIKR_BS'!$A:$K,COLUMN(K6),FALSE),"0")+IFERROR(VLOOKUP("Current Portion of Long-Term Debt*",'8.TIKR_BS'!$A:$K,COLUMN(K6),FALSE),"0")</f>
        <v>0</v>
      </c>
      <c r="L6" s="103" t="str">
        <f>IFERROR(IF((L4+L5+'4.Valoración'!L4)*TIKR_Cálculos!$B$7&gt;0,(L4+L5+'4.Valoración'!L4)*TIKR_Cálculos!$B$7,0),"0")</f>
        <v>0</v>
      </c>
      <c r="M6" s="87" t="str">
        <f>IFERROR(IF((M4+M5+'4.Valoración'!M4)*TIKR_Cálculos!$B$7&gt;0,(M4+M5+'4.Valoración'!M4)*TIKR_Cálculos!$B$7,0),"0")</f>
        <v>0</v>
      </c>
      <c r="N6" s="87" t="str">
        <f>IFERROR(IF((N4+N5+'4.Valoración'!N4)*TIKR_Cálculos!$B$7&gt;0,(N4+N5+'4.Valoración'!N4)*TIKR_Cálculos!$B$7,0),"0")</f>
        <v>0</v>
      </c>
      <c r="O6" s="87" t="str">
        <f>IFERROR(IF((O4+O5+'4.Valoración'!O4)*TIKR_Cálculos!$B$7&gt;0,(O4+O5+'4.Valoración'!O4)*TIKR_Cálculos!$B$7,0),"0")</f>
        <v>0</v>
      </c>
      <c r="P6" s="110" t="str">
        <f>IFERROR(IF((P4+P5+'4.Valoración'!P4)*TIKR_Cálculos!$B$7&gt;0,(P4+P5+'4.Valoración'!P4)*TIKR_Cálculos!$B$7,0),"0")</f>
        <v>0</v>
      </c>
      <c r="Q6" s="87"/>
      <c r="R6" s="87"/>
      <c r="V6" s="11"/>
    </row>
    <row r="7" spans="1:22" s="6" customFormat="1" ht="24.95" customHeight="1" x14ac:dyDescent="0.25">
      <c r="A7" s="97" t="s">
        <v>51</v>
      </c>
      <c r="B7" s="101">
        <f>IFERROR(VLOOKUP("Long-term Borrowings*",'8.TIKR_BS'!$A:$K,COLUMN(B7),FALSE),"0")+IFERROR(VLOOKUP("Long-Term Debt*",'8.TIKR_BS'!$A:$K,COLUMN(B7),FALSE),"0")</f>
        <v>0</v>
      </c>
      <c r="C7" s="86">
        <f>IFERROR(VLOOKUP("Long-term Borrowings*",'8.TIKR_BS'!$A:$K,COLUMN(C7),FALSE),"0")+IFERROR(VLOOKUP("Long-Term Debt*",'8.TIKR_BS'!$A:$K,COLUMN(C7),FALSE),"0")</f>
        <v>0</v>
      </c>
      <c r="D7" s="86">
        <f>IFERROR(VLOOKUP("Long-term Borrowings*",'8.TIKR_BS'!$A:$K,COLUMN(D7),FALSE),"0")+IFERROR(VLOOKUP("Long-Term Debt*",'8.TIKR_BS'!$A:$K,COLUMN(D7),FALSE),"0")</f>
        <v>0</v>
      </c>
      <c r="E7" s="86">
        <f>IFERROR(VLOOKUP("Long-term Borrowings*",'8.TIKR_BS'!$A:$K,COLUMN(E7),FALSE),"0")+IFERROR(VLOOKUP("Long-Term Debt*",'8.TIKR_BS'!$A:$K,COLUMN(E7),FALSE),"0")</f>
        <v>0</v>
      </c>
      <c r="F7" s="86">
        <f>IFERROR(VLOOKUP("Long-term Borrowings*",'8.TIKR_BS'!$A:$K,COLUMN(F7),FALSE),"0")+IFERROR(VLOOKUP("Long-Term Debt*",'8.TIKR_BS'!$A:$K,COLUMN(F7),FALSE),"0")</f>
        <v>0</v>
      </c>
      <c r="G7" s="86">
        <f>IFERROR(VLOOKUP("Long-term Borrowings*",'8.TIKR_BS'!$A:$K,COLUMN(G7),FALSE),"0")+IFERROR(VLOOKUP("Long-Term Debt*",'8.TIKR_BS'!$A:$K,COLUMN(G7),FALSE),"0")</f>
        <v>0</v>
      </c>
      <c r="H7" s="86">
        <f>IFERROR(VLOOKUP("Long-term Borrowings*",'8.TIKR_BS'!$A:$K,COLUMN(H7),FALSE),"0")+IFERROR(VLOOKUP("Long-Term Debt*",'8.TIKR_BS'!$A:$K,COLUMN(H7),FALSE),"0")</f>
        <v>0</v>
      </c>
      <c r="I7" s="86">
        <f>IFERROR(VLOOKUP("Long-term Borrowings*",'8.TIKR_BS'!$A:$K,COLUMN(I7),FALSE),"0")+IFERROR(VLOOKUP("Long-Term Debt*",'8.TIKR_BS'!$A:$K,COLUMN(I7),FALSE),"0")</f>
        <v>0</v>
      </c>
      <c r="J7" s="86">
        <f>IFERROR(VLOOKUP("Long-term Borrowings*",'8.TIKR_BS'!$A:$K,COLUMN(J7),FALSE),"0")+IFERROR(VLOOKUP("Long-Term Debt*",'8.TIKR_BS'!$A:$K,COLUMN(J7),FALSE),"0")</f>
        <v>0</v>
      </c>
      <c r="K7" s="86">
        <f>IFERROR(VLOOKUP("Long-term Borrowings*",'8.TIKR_BS'!$A:$K,COLUMN(K7),FALSE),"0")+IFERROR(VLOOKUP("Long-Term Debt*",'8.TIKR_BS'!$A:$K,COLUMN(K7),FALSE),"0")</f>
        <v>0</v>
      </c>
      <c r="L7" s="103" t="str">
        <f>IFERROR(IF((L4+L5+'4.Valoración'!L4)*TIKR_Cálculos!$B$8&gt;0,(L4+L5+'4.Valoración'!L4)*TIKR_Cálculos!$B$8,0),"0")</f>
        <v>0</v>
      </c>
      <c r="M7" s="87" t="str">
        <f>IFERROR(IF((M4+M5+'4.Valoración'!M4)*TIKR_Cálculos!$B$8&gt;0,(M4+M5+'4.Valoración'!M4)*TIKR_Cálculos!$B$8,0),"0")</f>
        <v>0</v>
      </c>
      <c r="N7" s="87" t="str">
        <f>IFERROR(IF((N4+N5+'4.Valoración'!N4)*TIKR_Cálculos!$B$8&gt;0,(N4+N5+'4.Valoración'!N4)*TIKR_Cálculos!$B$8,0),"0")</f>
        <v>0</v>
      </c>
      <c r="O7" s="87" t="str">
        <f>IFERROR(IF((O4+O5+'4.Valoración'!O4)*TIKR_Cálculos!$B$8&gt;0,(O4+O5+'4.Valoración'!O4)*TIKR_Cálculos!$B$8,0),"0")</f>
        <v>0</v>
      </c>
      <c r="P7" s="110" t="str">
        <f>IFERROR(IF((P4+P5+'4.Valoración'!P4)*TIKR_Cálculos!$B$8&gt;0,(P4+P5+'4.Valoración'!P4)*TIKR_Cálculos!$B$8,0),"0")</f>
        <v>0</v>
      </c>
      <c r="Q7" s="87"/>
      <c r="R7" s="87"/>
      <c r="S7" s="87"/>
      <c r="T7" s="87"/>
      <c r="U7" s="87"/>
      <c r="V7" s="11"/>
    </row>
    <row r="8" spans="1:22" s="6" customFormat="1" ht="24.95" customHeight="1" x14ac:dyDescent="0.25">
      <c r="A8" s="97" t="s">
        <v>90</v>
      </c>
      <c r="B8" s="101" t="str">
        <f>IFERROR(VLOOKUP("Current Portion of Capital Lease Obligations*",'8.TIKR_BS'!$A:$K,COLUMN(B8),FALSE),"0")</f>
        <v>0</v>
      </c>
      <c r="C8" s="86" t="str">
        <f>IFERROR(VLOOKUP("Current Portion of Capital Lease Obligations*",'8.TIKR_BS'!$A:$K,COLUMN(C8),FALSE),"0")</f>
        <v>0</v>
      </c>
      <c r="D8" s="86" t="str">
        <f>IFERROR(VLOOKUP("Current Portion of Capital Lease Obligations*",'8.TIKR_BS'!$A:$K,COLUMN(D8),FALSE),"0")</f>
        <v>0</v>
      </c>
      <c r="E8" s="86" t="str">
        <f>IFERROR(VLOOKUP("Current Portion of Capital Lease Obligations*",'8.TIKR_BS'!$A:$K,COLUMN(E8),FALSE),"0")</f>
        <v>0</v>
      </c>
      <c r="F8" s="86" t="str">
        <f>IFERROR(VLOOKUP("Current Portion of Capital Lease Obligations*",'8.TIKR_BS'!$A:$K,COLUMN(F8),FALSE),"0")</f>
        <v>0</v>
      </c>
      <c r="G8" s="86" t="str">
        <f>IFERROR(VLOOKUP("Current Portion of Capital Lease Obligations*",'8.TIKR_BS'!$A:$K,COLUMN(G8),FALSE),"0")</f>
        <v>0</v>
      </c>
      <c r="H8" s="86" t="str">
        <f>IFERROR(VLOOKUP("Current Portion of Capital Lease Obligations*",'8.TIKR_BS'!$A:$K,COLUMN(H8),FALSE),"0")</f>
        <v>0</v>
      </c>
      <c r="I8" s="86" t="str">
        <f>IFERROR(VLOOKUP("Current Portion of Capital Lease Obligations*",'8.TIKR_BS'!$A:$K,COLUMN(I8),FALSE),"0")</f>
        <v>0</v>
      </c>
      <c r="J8" s="86" t="str">
        <f>IFERROR(VLOOKUP("Current Portion of Capital Lease Obligations*",'8.TIKR_BS'!$A:$K,COLUMN(J8),FALSE),"0")</f>
        <v>0</v>
      </c>
      <c r="K8" s="86" t="str">
        <f>IFERROR(VLOOKUP("Current Portion of Capital Lease Obligations*",'8.TIKR_BS'!$A:$K,COLUMN(K8),FALSE),"0")</f>
        <v>0</v>
      </c>
      <c r="L8" s="103" t="str">
        <f>IFERROR(K8*'1.FFO'!$T$3+K8,"")</f>
        <v/>
      </c>
      <c r="M8" s="87" t="str">
        <f>IFERROR(L8*'1.FFO'!$T$3+L8,"")</f>
        <v/>
      </c>
      <c r="N8" s="87" t="str">
        <f>IFERROR(M8*'1.FFO'!$T$3+M8,"")</f>
        <v/>
      </c>
      <c r="O8" s="87" t="str">
        <f>IFERROR(N8*'1.FFO'!$T$3+N8,"")</f>
        <v/>
      </c>
      <c r="P8" s="110" t="str">
        <f>IFERROR(O8*'1.FFO'!$T$3+O8,"")</f>
        <v/>
      </c>
      <c r="Q8" s="87"/>
      <c r="R8" s="87"/>
      <c r="S8" s="87"/>
      <c r="T8" s="87"/>
      <c r="U8" s="87"/>
      <c r="V8" s="11"/>
    </row>
    <row r="9" spans="1:22" s="6" customFormat="1" ht="24.95" customHeight="1" x14ac:dyDescent="0.25">
      <c r="A9" s="97" t="s">
        <v>91</v>
      </c>
      <c r="B9" s="101" t="str">
        <f>IFERROR(VLOOKUP("Capital Leases*",'8.TIKR_BS'!$A:$K,COLUMN(B9),FALSE),"0")</f>
        <v>0</v>
      </c>
      <c r="C9" s="86" t="str">
        <f>IFERROR(VLOOKUP("Capital Leases*",'8.TIKR_BS'!$A:$K,COLUMN(C9),FALSE),"0")</f>
        <v>0</v>
      </c>
      <c r="D9" s="86" t="str">
        <f>IFERROR(VLOOKUP("Capital Leases*",'8.TIKR_BS'!$A:$K,COLUMN(D9),FALSE),"0")</f>
        <v>0</v>
      </c>
      <c r="E9" s="86" t="str">
        <f>IFERROR(VLOOKUP("Capital Leases*",'8.TIKR_BS'!$A:$K,COLUMN(E9),FALSE),"0")</f>
        <v>0</v>
      </c>
      <c r="F9" s="86" t="str">
        <f>IFERROR(VLOOKUP("Capital Leases*",'8.TIKR_BS'!$A:$K,COLUMN(F9),FALSE),"0")</f>
        <v>0</v>
      </c>
      <c r="G9" s="86" t="str">
        <f>IFERROR(VLOOKUP("Capital Leases*",'8.TIKR_BS'!$A:$K,COLUMN(G9),FALSE),"0")</f>
        <v>0</v>
      </c>
      <c r="H9" s="86" t="str">
        <f>IFERROR(VLOOKUP("Capital Leases*",'8.TIKR_BS'!$A:$K,COLUMN(H9),FALSE),"0")</f>
        <v>0</v>
      </c>
      <c r="I9" s="86" t="str">
        <f>IFERROR(VLOOKUP("Capital Leases*",'8.TIKR_BS'!$A:$K,COLUMN(I9),FALSE),"0")</f>
        <v>0</v>
      </c>
      <c r="J9" s="86" t="str">
        <f>IFERROR(VLOOKUP("Capital Leases*",'8.TIKR_BS'!$A:$K,COLUMN(J9),FALSE),"0")</f>
        <v>0</v>
      </c>
      <c r="K9" s="86" t="str">
        <f>IFERROR(VLOOKUP("Capital Leases*",'8.TIKR_BS'!$A:$K,COLUMN(K9),FALSE),"0")</f>
        <v>0</v>
      </c>
      <c r="L9" s="103" t="str">
        <f>IFERROR(K9*'1.FFO'!$T$3+K9,"")</f>
        <v/>
      </c>
      <c r="M9" s="87" t="str">
        <f>IFERROR(L9*'1.FFO'!$T$3+L9,"")</f>
        <v/>
      </c>
      <c r="N9" s="87" t="str">
        <f>IFERROR(M9*'1.FFO'!$T$3+M9,"")</f>
        <v/>
      </c>
      <c r="O9" s="87" t="str">
        <f>IFERROR(N9*'1.FFO'!$T$3+N9,"")</f>
        <v/>
      </c>
      <c r="P9" s="110" t="str">
        <f>IFERROR(O9*'1.FFO'!$T$3+O9,"")</f>
        <v/>
      </c>
      <c r="Q9" s="87"/>
      <c r="R9" s="87"/>
      <c r="S9" s="87"/>
      <c r="T9" s="87"/>
      <c r="U9" s="87"/>
      <c r="V9" s="11"/>
    </row>
    <row r="10" spans="1:22" s="6" customFormat="1" ht="24.95" customHeight="1" x14ac:dyDescent="0.25">
      <c r="A10" s="97" t="s">
        <v>7</v>
      </c>
      <c r="B10" s="101" t="str">
        <f>IFERROR(VLOOKUP("Total Equity*",'8.TIKR_BS'!$A:$K,COLUMN(B10),FALSE),"0")</f>
        <v>0</v>
      </c>
      <c r="C10" s="86" t="str">
        <f>IFERROR(VLOOKUP("Total Equity*",'8.TIKR_BS'!$A:$K,COLUMN(C10),FALSE),"0")</f>
        <v>0</v>
      </c>
      <c r="D10" s="86" t="str">
        <f>IFERROR(VLOOKUP("Total Equity*",'8.TIKR_BS'!$A:$K,COLUMN(D10),FALSE),"0")</f>
        <v>0</v>
      </c>
      <c r="E10" s="86" t="str">
        <f>IFERROR(VLOOKUP("Total Equity*",'8.TIKR_BS'!$A:$K,COLUMN(E10),FALSE),"0")</f>
        <v>0</v>
      </c>
      <c r="F10" s="86" t="str">
        <f>IFERROR(VLOOKUP("Total Equity*",'8.TIKR_BS'!$A:$K,COLUMN(F10),FALSE),"0")</f>
        <v>0</v>
      </c>
      <c r="G10" s="86" t="str">
        <f>IFERROR(VLOOKUP("Total Equity*",'8.TIKR_BS'!$A:$K,COLUMN(G10),FALSE),"0")</f>
        <v>0</v>
      </c>
      <c r="H10" s="86" t="str">
        <f>IFERROR(VLOOKUP("Total Equity*",'8.TIKR_BS'!$A:$K,COLUMN(H10),FALSE),"0")</f>
        <v>0</v>
      </c>
      <c r="I10" s="86" t="str">
        <f>IFERROR(VLOOKUP("Total Equity*",'8.TIKR_BS'!$A:$K,COLUMN(I10),FALSE),"0")</f>
        <v>0</v>
      </c>
      <c r="J10" s="86" t="str">
        <f>IFERROR(VLOOKUP("Total Equity*",'8.TIKR_BS'!$A:$K,COLUMN(J10),FALSE),"0")</f>
        <v>0</v>
      </c>
      <c r="K10" s="86" t="str">
        <f>IFERROR(VLOOKUP("Total Equity*",'8.TIKR_BS'!$A:$K,COLUMN(K10),FALSE),"0")</f>
        <v>0</v>
      </c>
      <c r="L10" s="103" t="str">
        <f>IFERROR(K10+TIKR_Cálculos!L44+'1.FFO'!L12*'4.Valoración'!L3,"")</f>
        <v/>
      </c>
      <c r="M10" s="87" t="str">
        <f>IFERROR(L10+TIKR_Cálculos!M44+'1.FFO'!M12*'4.Valoración'!M3,"")</f>
        <v/>
      </c>
      <c r="N10" s="87" t="str">
        <f>IFERROR(M10+TIKR_Cálculos!N44+'1.FFO'!N12*'4.Valoración'!N3,"")</f>
        <v/>
      </c>
      <c r="O10" s="87" t="str">
        <f>IFERROR(N10+TIKR_Cálculos!O44+'1.FFO'!O12*'4.Valoración'!O3,"")</f>
        <v/>
      </c>
      <c r="P10" s="110" t="str">
        <f>IFERROR(O10+TIKR_Cálculos!P44+'1.FFO'!P12*'4.Valoración'!P3,"")</f>
        <v/>
      </c>
      <c r="Q10" s="87"/>
      <c r="R10" s="87"/>
      <c r="S10" s="87"/>
      <c r="T10" s="87"/>
      <c r="U10" s="87"/>
      <c r="V10" s="11"/>
    </row>
    <row r="11" spans="1:22" s="6" customFormat="1" ht="24.95" customHeight="1" x14ac:dyDescent="0.25">
      <c r="A11" s="115" t="s">
        <v>83</v>
      </c>
      <c r="B11" s="121">
        <f>B10+B6+B7+B8+B9</f>
        <v>0</v>
      </c>
      <c r="C11" s="116">
        <f t="shared" ref="C11:K11" si="0">C10+C6+C7+C8+C9</f>
        <v>0</v>
      </c>
      <c r="D11" s="116">
        <f t="shared" si="0"/>
        <v>0</v>
      </c>
      <c r="E11" s="116">
        <f t="shared" si="0"/>
        <v>0</v>
      </c>
      <c r="F11" s="116">
        <f t="shared" si="0"/>
        <v>0</v>
      </c>
      <c r="G11" s="116">
        <f t="shared" si="0"/>
        <v>0</v>
      </c>
      <c r="H11" s="116">
        <f t="shared" si="0"/>
        <v>0</v>
      </c>
      <c r="I11" s="116">
        <f t="shared" si="0"/>
        <v>0</v>
      </c>
      <c r="J11" s="116">
        <f t="shared" si="0"/>
        <v>0</v>
      </c>
      <c r="K11" s="116">
        <f t="shared" si="0"/>
        <v>0</v>
      </c>
      <c r="L11" s="120" t="str">
        <f>IFERROR(L10+L6+L7+L8+L9,"")</f>
        <v/>
      </c>
      <c r="M11" s="117" t="str">
        <f t="shared" ref="M11:P11" si="1">IFERROR(M10+M6+M7+M8+M9,"")</f>
        <v/>
      </c>
      <c r="N11" s="117" t="str">
        <f t="shared" si="1"/>
        <v/>
      </c>
      <c r="O11" s="117" t="str">
        <f t="shared" si="1"/>
        <v/>
      </c>
      <c r="P11" s="118" t="str">
        <f t="shared" si="1"/>
        <v/>
      </c>
      <c r="Q11" s="87"/>
      <c r="R11" s="87"/>
      <c r="S11" s="87"/>
      <c r="T11" s="87"/>
      <c r="U11" s="87"/>
      <c r="V11" s="11"/>
    </row>
    <row r="12" spans="1:22" ht="30" customHeight="1" x14ac:dyDescent="0.3">
      <c r="A12" s="4"/>
      <c r="V12" s="20"/>
    </row>
    <row r="13" spans="1:22" s="123" customFormat="1" ht="39.950000000000003" customHeight="1" x14ac:dyDescent="0.3">
      <c r="A13" s="58" t="s">
        <v>150</v>
      </c>
      <c r="B13" s="59" t="str">
        <f>'1.FFO'!B$2</f>
        <v/>
      </c>
      <c r="C13" s="59" t="str">
        <f>'1.FFO'!C$2</f>
        <v/>
      </c>
      <c r="D13" s="59" t="str">
        <f>'1.FFO'!D$2</f>
        <v/>
      </c>
      <c r="E13" s="59" t="str">
        <f>'1.FFO'!E$2</f>
        <v/>
      </c>
      <c r="F13" s="59" t="str">
        <f>'1.FFO'!F$2</f>
        <v/>
      </c>
      <c r="G13" s="59" t="str">
        <f>'1.FFO'!G$2</f>
        <v/>
      </c>
      <c r="H13" s="59" t="str">
        <f>'1.FFO'!H$2</f>
        <v/>
      </c>
      <c r="I13" s="59" t="str">
        <f>'1.FFO'!I$2</f>
        <v/>
      </c>
      <c r="J13" s="59" t="str">
        <f>'1.FFO'!J$2</f>
        <v/>
      </c>
      <c r="K13" s="59" t="str">
        <f>'1.FFO'!K$2</f>
        <v/>
      </c>
      <c r="L13" s="60" t="str">
        <f>'1.FFO'!L$2</f>
        <v/>
      </c>
      <c r="M13" s="60" t="str">
        <f>'1.FFO'!M$2</f>
        <v/>
      </c>
      <c r="N13" s="60" t="str">
        <f>'1.FFO'!N$2</f>
        <v/>
      </c>
      <c r="O13" s="60" t="str">
        <f>'1.FFO'!O$2</f>
        <v/>
      </c>
      <c r="P13" s="60" t="str">
        <f>'1.FFO'!P$2</f>
        <v/>
      </c>
      <c r="R13" s="63" t="str">
        <f>"Promedio "&amp;CHAR(10)&amp;B$2&amp;" - "&amp;K$2</f>
        <v xml:space="preserve">Promedio 
 - </v>
      </c>
    </row>
    <row r="14" spans="1:22" s="12" customFormat="1" ht="24.95" customHeight="1" x14ac:dyDescent="0.25">
      <c r="A14" s="207" t="s">
        <v>84</v>
      </c>
      <c r="B14" s="208" t="str">
        <f t="shared" ref="B14:P14" si="2">IFERROR(B3/B11,"")</f>
        <v/>
      </c>
      <c r="C14" s="209" t="str">
        <f t="shared" si="2"/>
        <v/>
      </c>
      <c r="D14" s="209" t="str">
        <f t="shared" si="2"/>
        <v/>
      </c>
      <c r="E14" s="209" t="str">
        <f t="shared" si="2"/>
        <v/>
      </c>
      <c r="F14" s="209" t="str">
        <f t="shared" si="2"/>
        <v/>
      </c>
      <c r="G14" s="209" t="str">
        <f t="shared" si="2"/>
        <v/>
      </c>
      <c r="H14" s="210" t="str">
        <f t="shared" si="2"/>
        <v/>
      </c>
      <c r="I14" s="210" t="str">
        <f t="shared" ref="I14:K14" si="3">IFERROR(I3/I11,"")</f>
        <v/>
      </c>
      <c r="J14" s="210" t="str">
        <f t="shared" si="3"/>
        <v/>
      </c>
      <c r="K14" s="210" t="str">
        <f t="shared" si="3"/>
        <v/>
      </c>
      <c r="L14" s="211" t="str">
        <f t="shared" si="2"/>
        <v/>
      </c>
      <c r="M14" s="209" t="str">
        <f t="shared" si="2"/>
        <v/>
      </c>
      <c r="N14" s="209" t="str">
        <f t="shared" si="2"/>
        <v/>
      </c>
      <c r="O14" s="209" t="str">
        <f t="shared" si="2"/>
        <v/>
      </c>
      <c r="P14" s="212" t="str">
        <f t="shared" si="2"/>
        <v/>
      </c>
      <c r="R14" s="213" t="str">
        <f>IFERROR(AVERAGE(B14:K14),"")</f>
        <v/>
      </c>
      <c r="S14" s="134"/>
      <c r="T14" s="134"/>
      <c r="U14" s="134"/>
    </row>
    <row r="15" spans="1:22" ht="37.5" customHeight="1" x14ac:dyDescent="0.3">
      <c r="A15" s="4"/>
      <c r="B15" s="135"/>
      <c r="C15" s="135"/>
      <c r="D15" s="135"/>
      <c r="E15" s="135"/>
      <c r="F15" s="136"/>
      <c r="G15" s="136"/>
      <c r="H15" s="135"/>
      <c r="I15" s="135"/>
      <c r="J15" s="135"/>
      <c r="K15" s="135"/>
    </row>
  </sheetData>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9"/>
  <sheetViews>
    <sheetView showGridLines="0" zoomScale="90" zoomScaleNormal="90" workbookViewId="0"/>
  </sheetViews>
  <sheetFormatPr baseColWidth="10" defaultColWidth="0" defaultRowHeight="15" zeroHeight="1" x14ac:dyDescent="0.25"/>
  <cols>
    <col min="1" max="1" width="47" style="18" bestFit="1" customWidth="1"/>
    <col min="2" max="16" width="12.7109375" style="3" customWidth="1"/>
    <col min="17" max="17" width="60.85546875" customWidth="1"/>
    <col min="18" max="25" width="0" hidden="1" customWidth="1"/>
    <col min="26" max="16384" width="9.140625" hidden="1"/>
  </cols>
  <sheetData>
    <row r="1" spans="1:17" ht="60" customHeight="1" x14ac:dyDescent="0.25">
      <c r="B1" s="16" t="s">
        <v>65</v>
      </c>
    </row>
    <row r="2" spans="1:17" s="6" customFormat="1" ht="39.950000000000003" customHeight="1" x14ac:dyDescent="0.25">
      <c r="A2" s="96" t="s">
        <v>89</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8" t="str">
        <f>'1.FFO'!L$2</f>
        <v/>
      </c>
      <c r="M2" s="8" t="str">
        <f>'1.FFO'!M$2</f>
        <v/>
      </c>
      <c r="N2" s="8" t="str">
        <f>'1.FFO'!N$2</f>
        <v/>
      </c>
      <c r="O2" s="8" t="str">
        <f>'1.FFO'!O$2</f>
        <v/>
      </c>
      <c r="P2" s="8" t="str">
        <f>'1.FFO'!P$2</f>
        <v/>
      </c>
    </row>
    <row r="3" spans="1:17" s="6" customFormat="1" ht="24.95" customHeight="1" x14ac:dyDescent="0.25">
      <c r="A3" s="61" t="s">
        <v>5</v>
      </c>
      <c r="B3" s="164"/>
      <c r="C3" s="165"/>
      <c r="D3" s="165"/>
      <c r="E3" s="165"/>
      <c r="F3" s="165"/>
      <c r="G3" s="165"/>
      <c r="H3" s="166"/>
      <c r="I3" s="167"/>
      <c r="J3" s="167"/>
      <c r="K3" s="167">
        <f>$D$8*'1.FFO'!K11</f>
        <v>0</v>
      </c>
      <c r="L3" s="168" t="str">
        <f>IFERROR($D$8*'1.FFO'!L11,"")</f>
        <v/>
      </c>
      <c r="M3" s="169" t="str">
        <f>IFERROR($D$8*'1.FFO'!M11,"")</f>
        <v/>
      </c>
      <c r="N3" s="169" t="str">
        <f>IFERROR($D$8*'1.FFO'!N11,"")</f>
        <v/>
      </c>
      <c r="O3" s="169" t="str">
        <f>IFERROR($D$8*'1.FFO'!O11,"")</f>
        <v/>
      </c>
      <c r="P3" s="170" t="str">
        <f>IFERROR($D$8*'1.FFO'!P11,"")</f>
        <v/>
      </c>
    </row>
    <row r="4" spans="1:17" s="6" customFormat="1" ht="24.95" customHeight="1" thickBot="1" x14ac:dyDescent="0.3">
      <c r="A4" s="61" t="s">
        <v>56</v>
      </c>
      <c r="B4" s="112">
        <f>('3.ROIC'!B7+'3.ROIC'!B6)-('3.ROIC'!B4+'3.ROIC'!B5)</f>
        <v>0</v>
      </c>
      <c r="C4" s="89">
        <f>('3.ROIC'!C7+'3.ROIC'!C6)-('3.ROIC'!C4+'3.ROIC'!C5)</f>
        <v>0</v>
      </c>
      <c r="D4" s="89">
        <f>('3.ROIC'!D7+'3.ROIC'!D6)-('3.ROIC'!D4+'3.ROIC'!D5)</f>
        <v>0</v>
      </c>
      <c r="E4" s="89">
        <f>('3.ROIC'!E7+'3.ROIC'!E6)-('3.ROIC'!E4+'3.ROIC'!E5)</f>
        <v>0</v>
      </c>
      <c r="F4" s="89">
        <f>('3.ROIC'!F7+'3.ROIC'!F6)-('3.ROIC'!F4+'3.ROIC'!F5)</f>
        <v>0</v>
      </c>
      <c r="G4" s="89">
        <f>('3.ROIC'!G7+'3.ROIC'!G6)-('3.ROIC'!G4+'3.ROIC'!G5)</f>
        <v>0</v>
      </c>
      <c r="H4" s="89">
        <f>('3.ROIC'!H7+'3.ROIC'!H6)-('3.ROIC'!H4+'3.ROIC'!H5)</f>
        <v>0</v>
      </c>
      <c r="I4" s="89">
        <f>('3.ROIC'!I7+'3.ROIC'!I6)-('3.ROIC'!I4+'3.ROIC'!I5)</f>
        <v>0</v>
      </c>
      <c r="J4" s="89">
        <f>('3.ROIC'!J7+'3.ROIC'!J6)-('3.ROIC'!J4+'3.ROIC'!J5)</f>
        <v>0</v>
      </c>
      <c r="K4" s="87">
        <f>('3.ROIC'!K7+'3.ROIC'!K6)-('3.ROIC'!K4+'3.ROIC'!K5)</f>
        <v>0</v>
      </c>
      <c r="L4" s="103" t="str">
        <f>IFERROR(L5*TIKR_Cálculos!L40,"")</f>
        <v/>
      </c>
      <c r="M4" s="87" t="str">
        <f>IFERROR(M5*TIKR_Cálculos!M40,"")</f>
        <v/>
      </c>
      <c r="N4" s="87" t="str">
        <f>IFERROR(N5*TIKR_Cálculos!N40,"")</f>
        <v/>
      </c>
      <c r="O4" s="87" t="str">
        <f>IFERROR(O5*TIKR_Cálculos!O40,"")</f>
        <v/>
      </c>
      <c r="P4" s="110" t="str">
        <f>IFERROR(P5*TIKR_Cálculos!P40,"")</f>
        <v/>
      </c>
    </row>
    <row r="5" spans="1:17" s="6" customFormat="1" ht="24.95" customHeight="1" thickTop="1" thickBot="1" x14ac:dyDescent="0.3">
      <c r="A5" s="17" t="s">
        <v>86</v>
      </c>
      <c r="B5" s="127" t="str">
        <f>IFERROR('4.Valoración'!B4/TIKR_Cálculos!B40,"")</f>
        <v/>
      </c>
      <c r="C5" s="91" t="str">
        <f>IFERROR('4.Valoración'!C4/TIKR_Cálculos!C40,"")</f>
        <v/>
      </c>
      <c r="D5" s="91" t="str">
        <f>IFERROR('4.Valoración'!D4/TIKR_Cálculos!D40,"")</f>
        <v/>
      </c>
      <c r="E5" s="91" t="str">
        <f>IFERROR('4.Valoración'!E4/TIKR_Cálculos!E40,"")</f>
        <v/>
      </c>
      <c r="F5" s="91" t="str">
        <f>IFERROR('4.Valoración'!F4/TIKR_Cálculos!F40,"")</f>
        <v/>
      </c>
      <c r="G5" s="91" t="str">
        <f>IFERROR('4.Valoración'!G4/TIKR_Cálculos!G40,"")</f>
        <v/>
      </c>
      <c r="H5" s="91" t="str">
        <f>IFERROR('4.Valoración'!H4/TIKR_Cálculos!H40,"")</f>
        <v/>
      </c>
      <c r="I5" s="91" t="str">
        <f>IFERROR('4.Valoración'!I4/TIKR_Cálculos!I40,"")</f>
        <v/>
      </c>
      <c r="J5" s="91" t="str">
        <f>IFERROR('4.Valoración'!J4/TIKR_Cálculos!J40,"")</f>
        <v/>
      </c>
      <c r="K5" s="95" t="str">
        <f>IFERROR('4.Valoración'!K4/TIKR_Cálculos!K40,"")</f>
        <v/>
      </c>
      <c r="L5" s="156" t="str">
        <f>IFERROR(AVERAGE('4.Valoración'!B5:K5),"")</f>
        <v/>
      </c>
      <c r="M5" s="157" t="str">
        <f>L5</f>
        <v/>
      </c>
      <c r="N5" s="157" t="str">
        <f t="shared" ref="N5:P5" si="0">M5</f>
        <v/>
      </c>
      <c r="O5" s="157" t="str">
        <f t="shared" si="0"/>
        <v/>
      </c>
      <c r="P5" s="158" t="str">
        <f t="shared" si="0"/>
        <v/>
      </c>
      <c r="Q5" s="173" t="s">
        <v>117</v>
      </c>
    </row>
    <row r="6" spans="1:17" s="6" customFormat="1" ht="24.95" customHeight="1" thickTop="1" x14ac:dyDescent="0.25">
      <c r="A6" s="126" t="s">
        <v>15</v>
      </c>
      <c r="B6" s="121"/>
      <c r="C6" s="116"/>
      <c r="D6" s="116"/>
      <c r="E6" s="116"/>
      <c r="F6" s="116"/>
      <c r="G6" s="116"/>
      <c r="H6" s="116"/>
      <c r="I6" s="116"/>
      <c r="J6" s="116"/>
      <c r="K6" s="116">
        <f>K3+K4</f>
        <v>0</v>
      </c>
      <c r="L6" s="121" t="str">
        <f>IFERROR((L3+L4),"")</f>
        <v/>
      </c>
      <c r="M6" s="116" t="str">
        <f>IFERROR((M3+M4),"")</f>
        <v/>
      </c>
      <c r="N6" s="116" t="str">
        <f>IFERROR((N3+N4),"")</f>
        <v/>
      </c>
      <c r="O6" s="116" t="str">
        <f>IFERROR((O3+O4),"")</f>
        <v/>
      </c>
      <c r="P6" s="128" t="str">
        <f>IFERROR((P3+P4),"")</f>
        <v/>
      </c>
    </row>
    <row r="7" spans="1:17" s="6" customFormat="1" ht="20.100000000000001" customHeight="1" thickBot="1" x14ac:dyDescent="0.3">
      <c r="A7" s="69"/>
      <c r="B7" s="90"/>
      <c r="C7" s="90"/>
      <c r="D7" s="90"/>
      <c r="E7" s="90"/>
      <c r="F7" s="90"/>
      <c r="G7" s="90"/>
      <c r="H7" s="90"/>
      <c r="I7" s="90"/>
      <c r="J7" s="90"/>
      <c r="K7" s="90"/>
      <c r="L7" s="90"/>
      <c r="M7" s="90"/>
      <c r="N7" s="90"/>
      <c r="O7" s="90"/>
      <c r="P7" s="90"/>
      <c r="Q7" s="22"/>
    </row>
    <row r="8" spans="1:17" s="6" customFormat="1" ht="24.95" customHeight="1" thickTop="1" thickBot="1" x14ac:dyDescent="0.3">
      <c r="A8" s="240" t="s">
        <v>11</v>
      </c>
      <c r="B8" s="241"/>
      <c r="C8" s="242"/>
      <c r="D8" s="150"/>
      <c r="E8" s="90"/>
      <c r="F8" s="90"/>
      <c r="G8" s="90"/>
      <c r="H8" s="90"/>
      <c r="I8" s="90"/>
      <c r="J8" s="90"/>
      <c r="K8" s="90"/>
      <c r="L8" s="90"/>
      <c r="M8" s="90"/>
      <c r="N8" s="90"/>
      <c r="O8" s="90"/>
      <c r="P8" s="90"/>
      <c r="Q8" s="22"/>
    </row>
    <row r="9" spans="1:17" s="6" customFormat="1" ht="20.100000000000001" customHeight="1" thickTop="1" thickBot="1" x14ac:dyDescent="0.3">
      <c r="A9" s="223"/>
      <c r="B9" s="223"/>
      <c r="C9" s="223"/>
      <c r="D9" s="224"/>
      <c r="E9" s="90"/>
      <c r="F9" s="90"/>
      <c r="G9" s="90"/>
      <c r="H9" s="90"/>
      <c r="I9" s="90"/>
      <c r="J9" s="90"/>
      <c r="K9" s="90"/>
      <c r="L9" s="90"/>
      <c r="M9" s="90"/>
      <c r="N9" s="90"/>
      <c r="O9" s="90"/>
      <c r="P9" s="90"/>
      <c r="Q9" s="22"/>
    </row>
    <row r="10" spans="1:17" s="6" customFormat="1" ht="24.95" customHeight="1" thickBot="1" x14ac:dyDescent="0.3">
      <c r="A10" s="244" t="s">
        <v>159</v>
      </c>
      <c r="B10" s="245"/>
      <c r="C10" s="246"/>
      <c r="D10" s="175" t="str">
        <f>IF($D$8&lt;&gt;"",IF(K18&lt;15%,F18/2,D8),"")</f>
        <v/>
      </c>
      <c r="E10" s="90"/>
      <c r="F10" s="90"/>
      <c r="G10" s="90"/>
      <c r="H10" s="90"/>
      <c r="I10" s="90"/>
      <c r="J10" s="90"/>
      <c r="K10" s="90"/>
      <c r="L10" s="90"/>
      <c r="M10" s="90"/>
      <c r="N10" s="90"/>
      <c r="O10" s="90"/>
      <c r="P10" s="90"/>
      <c r="Q10" s="22"/>
    </row>
    <row r="11" spans="1:17" s="6" customFormat="1" ht="20.100000000000001" customHeight="1" thickBot="1" x14ac:dyDescent="0.3">
      <c r="A11" s="69"/>
      <c r="B11" s="24"/>
      <c r="C11" s="24"/>
      <c r="D11" s="24"/>
      <c r="E11" s="24"/>
      <c r="F11" s="24"/>
      <c r="G11" s="24"/>
      <c r="H11" s="24"/>
      <c r="I11" s="24"/>
      <c r="J11" s="24"/>
      <c r="K11" s="24"/>
      <c r="L11" s="24"/>
      <c r="M11" s="24"/>
      <c r="N11" s="24"/>
      <c r="O11" s="24"/>
      <c r="P11" s="24"/>
    </row>
    <row r="12" spans="1:17" s="6" customFormat="1" ht="39.950000000000003" customHeight="1" thickTop="1" x14ac:dyDescent="0.25">
      <c r="A12" s="125" t="s">
        <v>76</v>
      </c>
      <c r="B12" s="124" t="s">
        <v>57</v>
      </c>
      <c r="C12" s="124" t="s">
        <v>60</v>
      </c>
      <c r="D12" s="154" t="s">
        <v>58</v>
      </c>
      <c r="E12" s="70"/>
      <c r="G12" s="7"/>
      <c r="H12" s="7"/>
      <c r="I12" s="7"/>
      <c r="J12" s="7"/>
      <c r="K12" s="7"/>
      <c r="L12" s="7"/>
      <c r="M12" s="7"/>
      <c r="N12" s="7"/>
      <c r="O12" s="7"/>
      <c r="P12" s="7"/>
    </row>
    <row r="13" spans="1:17" s="6" customFormat="1" ht="24.95" customHeight="1" x14ac:dyDescent="0.25">
      <c r="A13" s="226" t="s">
        <v>143</v>
      </c>
      <c r="B13" s="130" t="str">
        <f>IF($D$8&lt;&gt;"",IFERROR($D$8/('1.FFO'!K5/'1.FFO'!K11),""),"")</f>
        <v/>
      </c>
      <c r="C13" s="130" t="str">
        <f>IF($D$8&lt;&gt;"",IFERROR($D$8/('1.FFO'!L5/'1.FFO'!L11),""),"")</f>
        <v/>
      </c>
      <c r="D13" s="155" t="str">
        <f>C13</f>
        <v/>
      </c>
      <c r="E13" s="71"/>
      <c r="G13" s="7"/>
      <c r="H13" s="7"/>
      <c r="I13" s="7"/>
      <c r="J13" s="7"/>
      <c r="K13" s="7"/>
      <c r="L13" s="7"/>
      <c r="M13" s="7"/>
      <c r="N13" s="7"/>
      <c r="O13" s="7"/>
      <c r="P13" s="7"/>
    </row>
    <row r="14" spans="1:17" s="6" customFormat="1" ht="24.95" customHeight="1" thickBot="1" x14ac:dyDescent="0.3">
      <c r="A14" s="227" t="s">
        <v>144</v>
      </c>
      <c r="B14" s="228" t="str">
        <f>IF($D$8&lt;&gt;"",IFERROR($D$8/('1.FFO'!K9/'1.FFO'!K11),""),"")</f>
        <v/>
      </c>
      <c r="C14" s="229" t="str">
        <f>IF($D$8&lt;&gt;"",IFERROR($D$8/('1.FFO'!L9/'1.FFO'!L11),""),"")</f>
        <v/>
      </c>
      <c r="D14" s="225" t="str">
        <f>C14</f>
        <v/>
      </c>
      <c r="E14" s="72"/>
      <c r="F14" s="172" t="s">
        <v>117</v>
      </c>
      <c r="G14" s="7"/>
      <c r="H14" s="7"/>
      <c r="I14" s="7"/>
      <c r="J14" s="7"/>
      <c r="K14" s="7"/>
      <c r="L14" s="7"/>
      <c r="M14" s="7"/>
      <c r="N14" s="7"/>
      <c r="O14" s="7"/>
      <c r="P14" s="7"/>
    </row>
    <row r="15" spans="1:17" s="6" customFormat="1" ht="20.100000000000001" customHeight="1" thickTop="1" thickBot="1" x14ac:dyDescent="0.3">
      <c r="A15" s="73"/>
      <c r="B15" s="25"/>
      <c r="C15" s="7"/>
      <c r="D15" s="7"/>
      <c r="E15" s="7"/>
      <c r="F15" s="7"/>
      <c r="G15" s="7"/>
      <c r="H15" s="7"/>
      <c r="I15" s="7"/>
      <c r="J15" s="7"/>
      <c r="K15" s="7"/>
      <c r="L15" s="7"/>
      <c r="M15" s="7"/>
      <c r="N15" s="7"/>
      <c r="O15" s="7"/>
      <c r="P15" s="7"/>
    </row>
    <row r="16" spans="1:17" s="6" customFormat="1" ht="39.950000000000003" customHeight="1" thickTop="1" x14ac:dyDescent="0.25">
      <c r="A16" s="125" t="s">
        <v>59</v>
      </c>
      <c r="B16" s="124" t="str">
        <f>L2</f>
        <v/>
      </c>
      <c r="C16" s="124" t="str">
        <f>M2</f>
        <v/>
      </c>
      <c r="D16" s="124" t="str">
        <f>N2</f>
        <v/>
      </c>
      <c r="E16" s="124" t="str">
        <f>O2</f>
        <v/>
      </c>
      <c r="F16" s="174" t="str">
        <f>P2</f>
        <v/>
      </c>
      <c r="H16" s="243" t="str">
        <f>"Retorno Anualizado"&amp;CHAR(10)&amp;"valorando por..."</f>
        <v>Retorno Anualizado
valorando por...</v>
      </c>
      <c r="I16" s="243"/>
      <c r="J16" s="243"/>
      <c r="K16" s="124" t="str">
        <f>"CAGR"&amp;CHAR(10)&amp;"5 años"</f>
        <v>CAGR
5 años</v>
      </c>
      <c r="O16" s="7"/>
      <c r="P16" s="7"/>
    </row>
    <row r="17" spans="1:16" s="6" customFormat="1" ht="24.95" customHeight="1" x14ac:dyDescent="0.25">
      <c r="A17" s="69" t="s">
        <v>143</v>
      </c>
      <c r="B17" s="13" t="str">
        <f>IF($D$8&lt;&gt;"",IFERROR(('1.FFO'!L5*$D$13)/'1.FFO'!L11,""),"")</f>
        <v/>
      </c>
      <c r="C17" s="13" t="str">
        <f>IF($D$8&lt;&gt;"",IFERROR(('1.FFO'!M5*$D$13)/'1.FFO'!M11,""),"")</f>
        <v/>
      </c>
      <c r="D17" s="13" t="str">
        <f>IF($D$8&lt;&gt;"",IFERROR(('1.FFO'!N5*$D$13)/'1.FFO'!N11,""),"")</f>
        <v/>
      </c>
      <c r="E17" s="13" t="str">
        <f>IF($D$8&lt;&gt;"",IFERROR(('1.FFO'!O5*$D$13)/'1.FFO'!O11,""),"")</f>
        <v/>
      </c>
      <c r="F17" s="230" t="str">
        <f>IF($D$8&lt;&gt;"",IFERROR(('1.FFO'!P5*$D$13)/'1.FFO'!P11,""),"")</f>
        <v/>
      </c>
      <c r="H17" s="231" t="s">
        <v>143</v>
      </c>
      <c r="I17" s="232"/>
      <c r="J17" s="232"/>
      <c r="K17" s="233" t="str">
        <f>IFERROR((F17/$D$8)^(1/5)-1,"")</f>
        <v/>
      </c>
      <c r="O17" s="7"/>
      <c r="P17" s="7"/>
    </row>
    <row r="18" spans="1:16" s="6" customFormat="1" ht="24.95" customHeight="1" x14ac:dyDescent="0.25">
      <c r="A18" s="69" t="s">
        <v>144</v>
      </c>
      <c r="B18" s="13" t="str">
        <f>IF($D$8&lt;&gt;"",IFERROR(('1.FFO'!L9*$D$14)/'1.FFO'!L11,""),"")</f>
        <v/>
      </c>
      <c r="C18" s="13" t="str">
        <f>IF($D$8&lt;&gt;"",IFERROR(('1.FFO'!M9*$D$14)/'1.FFO'!M11,""),"")</f>
        <v/>
      </c>
      <c r="D18" s="13" t="str">
        <f>IF($D$8&lt;&gt;"",IFERROR(('1.FFO'!N9*$D$14)/'1.FFO'!N11,""),"")</f>
        <v/>
      </c>
      <c r="E18" s="13" t="str">
        <f>IF($D$8&lt;&gt;"",IFERROR(('1.FFO'!O9*$D$14)/'1.FFO'!O11,""),"")</f>
        <v/>
      </c>
      <c r="F18" s="230" t="str">
        <f>IF($D$8&lt;&gt;"",IFERROR(('1.FFO'!P9*$D$14)/'1.FFO'!P11,""),"")</f>
        <v/>
      </c>
      <c r="H18" s="226" t="s">
        <v>144</v>
      </c>
      <c r="I18" s="69"/>
      <c r="J18" s="69"/>
      <c r="K18" s="129" t="str">
        <f>IFERROR((F18/$D$8)^(1/5)-1,"")</f>
        <v/>
      </c>
      <c r="O18" s="7"/>
      <c r="P18" s="7"/>
    </row>
    <row r="19" spans="1:16" s="6" customFormat="1" ht="24.95" customHeight="1" x14ac:dyDescent="0.25">
      <c r="A19" s="139" t="s">
        <v>49</v>
      </c>
      <c r="B19" s="140" t="str">
        <f>IFERROR(AVERAGE(B17:B18),"")</f>
        <v/>
      </c>
      <c r="C19" s="140" t="str">
        <f>IFERROR(AVERAGE(C17:C18),"")</f>
        <v/>
      </c>
      <c r="D19" s="140" t="str">
        <f>IFERROR(AVERAGE(D17:D18),"")</f>
        <v/>
      </c>
      <c r="E19" s="140" t="str">
        <f>IFERROR(AVERAGE(E17:E18),"")</f>
        <v/>
      </c>
      <c r="F19" s="235" t="str">
        <f>IFERROR(AVERAGE(F17:F18),"")</f>
        <v/>
      </c>
      <c r="H19" s="234" t="s">
        <v>49</v>
      </c>
      <c r="I19" s="132"/>
      <c r="J19" s="132"/>
      <c r="K19" s="133" t="str">
        <f>IFERROR(AVERAGE(K17:K18),"")</f>
        <v/>
      </c>
      <c r="O19" s="7"/>
      <c r="P19" s="7"/>
    </row>
    <row r="20" spans="1:16" s="6" customFormat="1" ht="24.95" customHeight="1" thickBot="1" x14ac:dyDescent="0.3">
      <c r="A20" s="132" t="s">
        <v>101</v>
      </c>
      <c r="B20" s="141" t="str">
        <f>IFERROR((B19/$D$8)-1,"")</f>
        <v/>
      </c>
      <c r="C20" s="141" t="str">
        <f t="shared" ref="C20:F20" si="1">IFERROR((C19/$D$8)-1,"")</f>
        <v/>
      </c>
      <c r="D20" s="141" t="str">
        <f t="shared" si="1"/>
        <v/>
      </c>
      <c r="E20" s="141" t="str">
        <f t="shared" si="1"/>
        <v/>
      </c>
      <c r="F20" s="236" t="str">
        <f t="shared" si="1"/>
        <v/>
      </c>
      <c r="G20" s="7"/>
      <c r="H20" s="7"/>
      <c r="I20" s="7"/>
      <c r="J20" s="7"/>
      <c r="K20" s="7"/>
      <c r="L20" s="7"/>
      <c r="M20" s="7"/>
      <c r="N20" s="7"/>
      <c r="O20" s="7"/>
      <c r="P20" s="7"/>
    </row>
    <row r="21" spans="1:16" s="6" customFormat="1" ht="17.25" hidden="1" x14ac:dyDescent="0.25">
      <c r="H21" s="7"/>
      <c r="I21" s="7"/>
      <c r="J21" s="7"/>
      <c r="K21" s="7"/>
      <c r="L21" s="7"/>
      <c r="M21" s="7"/>
      <c r="N21" s="7"/>
      <c r="O21" s="7"/>
      <c r="P21" s="7"/>
    </row>
    <row r="22" spans="1:16" s="6" customFormat="1" ht="24.95" hidden="1" customHeight="1" x14ac:dyDescent="0.25">
      <c r="H22" s="7"/>
      <c r="I22" s="7"/>
      <c r="J22" s="7"/>
      <c r="K22" s="7"/>
      <c r="L22" s="7"/>
      <c r="M22" s="7"/>
      <c r="N22" s="7"/>
      <c r="O22" s="7"/>
      <c r="P22" s="7"/>
    </row>
    <row r="23" spans="1:16" s="6" customFormat="1" ht="24.95" hidden="1" customHeight="1" x14ac:dyDescent="0.25">
      <c r="H23" s="7"/>
      <c r="I23" s="7"/>
      <c r="J23" s="7"/>
      <c r="K23" s="7"/>
      <c r="L23" s="7"/>
      <c r="M23" s="7"/>
      <c r="N23" s="7"/>
      <c r="O23" s="7"/>
      <c r="P23" s="7"/>
    </row>
    <row r="24" spans="1:16" s="6" customFormat="1" ht="24.95" hidden="1" customHeight="1" x14ac:dyDescent="0.25">
      <c r="H24" s="7"/>
      <c r="I24" s="7"/>
      <c r="J24" s="7"/>
      <c r="K24" s="7"/>
      <c r="L24" s="7"/>
      <c r="M24" s="7"/>
      <c r="N24" s="7"/>
      <c r="O24" s="7"/>
      <c r="P24" s="7"/>
    </row>
    <row r="25" spans="1:16" s="6" customFormat="1" ht="24.95" hidden="1" customHeight="1" x14ac:dyDescent="0.25">
      <c r="H25" s="7"/>
      <c r="I25" s="7"/>
      <c r="J25" s="7"/>
      <c r="K25" s="7"/>
      <c r="L25" s="7"/>
      <c r="M25" s="7"/>
      <c r="N25" s="7"/>
      <c r="O25" s="7"/>
      <c r="P25" s="7"/>
    </row>
    <row r="26" spans="1:16" s="6" customFormat="1" ht="17.25" hidden="1" x14ac:dyDescent="0.25">
      <c r="H26" s="7"/>
      <c r="I26" s="7"/>
      <c r="J26" s="7"/>
      <c r="K26" s="7"/>
      <c r="L26" s="7"/>
      <c r="M26" s="7"/>
      <c r="N26" s="7"/>
      <c r="O26" s="7"/>
      <c r="P26" s="7"/>
    </row>
    <row r="27" spans="1:16" s="6" customFormat="1" ht="17.25" hidden="1" x14ac:dyDescent="0.25">
      <c r="A27" s="23"/>
      <c r="B27" s="7"/>
      <c r="C27" s="7"/>
      <c r="D27" s="7"/>
      <c r="E27" s="7"/>
      <c r="F27" s="7"/>
      <c r="G27" s="7"/>
      <c r="H27" s="7"/>
      <c r="I27" s="7"/>
      <c r="J27" s="7"/>
      <c r="K27" s="7"/>
      <c r="L27" s="7"/>
      <c r="M27" s="7"/>
      <c r="N27" s="7"/>
      <c r="O27" s="7"/>
      <c r="P27" s="7"/>
    </row>
    <row r="28" spans="1:16" s="6" customFormat="1" ht="17.25" hidden="1" x14ac:dyDescent="0.25">
      <c r="A28" s="23"/>
      <c r="B28" s="7"/>
      <c r="C28" s="7"/>
      <c r="D28" s="7"/>
      <c r="E28" s="7"/>
      <c r="F28" s="7"/>
      <c r="G28" s="7"/>
      <c r="H28" s="7"/>
      <c r="I28" s="7"/>
      <c r="J28" s="7"/>
      <c r="K28" s="7"/>
      <c r="L28" s="7"/>
      <c r="M28" s="7"/>
      <c r="N28" s="7"/>
      <c r="O28" s="7"/>
      <c r="P28" s="7"/>
    </row>
    <row r="29" spans="1:16" s="6" customFormat="1" ht="17.25" hidden="1" x14ac:dyDescent="0.25">
      <c r="A29" s="23"/>
      <c r="B29" s="7"/>
      <c r="C29" s="7"/>
      <c r="D29" s="7"/>
      <c r="E29" s="7"/>
      <c r="F29" s="7"/>
      <c r="G29" s="7"/>
      <c r="H29" s="7"/>
      <c r="I29" s="7"/>
      <c r="J29" s="7"/>
      <c r="K29" s="7"/>
      <c r="L29" s="7"/>
      <c r="M29" s="7"/>
      <c r="N29" s="7"/>
      <c r="O29" s="7"/>
      <c r="P29" s="7"/>
    </row>
    <row r="30" spans="1:16" s="6" customFormat="1" ht="17.25" hidden="1" x14ac:dyDescent="0.25">
      <c r="C30" s="7"/>
      <c r="D30" s="7"/>
      <c r="E30" s="7"/>
      <c r="F30" s="7"/>
      <c r="G30" s="7"/>
      <c r="H30" s="7"/>
      <c r="I30" s="7"/>
      <c r="J30" s="7"/>
      <c r="K30" s="7"/>
      <c r="L30" s="7"/>
      <c r="M30" s="7"/>
      <c r="N30" s="7"/>
      <c r="O30" s="7"/>
      <c r="P30" s="7"/>
    </row>
    <row r="31" spans="1:16" s="6" customFormat="1" ht="17.25" hidden="1" x14ac:dyDescent="0.25">
      <c r="C31" s="7"/>
      <c r="D31" s="7"/>
      <c r="E31" s="7"/>
      <c r="F31" s="7"/>
      <c r="G31" s="7"/>
      <c r="H31" s="7"/>
      <c r="I31" s="7"/>
      <c r="J31" s="7"/>
      <c r="K31" s="7"/>
      <c r="L31" s="7"/>
      <c r="M31" s="7"/>
      <c r="N31" s="7"/>
      <c r="O31" s="7"/>
      <c r="P31" s="7"/>
    </row>
    <row r="32" spans="1:16" s="6" customFormat="1" ht="17.25" hidden="1" x14ac:dyDescent="0.25">
      <c r="C32" s="7"/>
      <c r="D32" s="7"/>
      <c r="E32" s="7"/>
      <c r="F32" s="7"/>
      <c r="G32" s="7"/>
      <c r="H32" s="7"/>
      <c r="I32" s="7"/>
      <c r="J32" s="7"/>
      <c r="K32" s="7"/>
      <c r="L32" s="7"/>
      <c r="M32" s="7"/>
      <c r="N32" s="7"/>
      <c r="O32" s="7"/>
      <c r="P32" s="7"/>
    </row>
    <row r="33" spans="1:16" s="6" customFormat="1" ht="17.25" hidden="1" x14ac:dyDescent="0.25">
      <c r="C33" s="7"/>
      <c r="D33" s="7"/>
      <c r="E33" s="7"/>
      <c r="F33" s="7"/>
      <c r="G33" s="7"/>
      <c r="H33" s="7"/>
      <c r="I33" s="7"/>
      <c r="J33" s="7"/>
      <c r="K33" s="7"/>
      <c r="L33" s="7"/>
      <c r="M33" s="7"/>
      <c r="N33" s="7"/>
      <c r="O33" s="7"/>
      <c r="P33" s="7"/>
    </row>
    <row r="34" spans="1:16" s="6" customFormat="1" ht="17.25" hidden="1" x14ac:dyDescent="0.25">
      <c r="C34" s="7"/>
      <c r="D34" s="7"/>
      <c r="E34" s="7"/>
      <c r="F34" s="7"/>
      <c r="G34" s="7"/>
      <c r="H34" s="7"/>
      <c r="I34" s="7"/>
      <c r="J34" s="7"/>
      <c r="K34" s="7"/>
      <c r="L34" s="7"/>
      <c r="M34" s="7"/>
      <c r="N34" s="7"/>
      <c r="O34" s="7"/>
      <c r="P34" s="7"/>
    </row>
    <row r="35" spans="1:16" s="4" customFormat="1" ht="17.25" hidden="1" x14ac:dyDescent="0.3">
      <c r="A35" s="19"/>
      <c r="B35" s="5"/>
      <c r="C35" s="5"/>
      <c r="D35" s="5"/>
      <c r="E35" s="5"/>
      <c r="F35" s="5"/>
      <c r="G35" s="5"/>
      <c r="H35" s="5"/>
      <c r="I35" s="5"/>
      <c r="J35" s="5"/>
      <c r="K35" s="5"/>
      <c r="L35" s="5"/>
      <c r="M35" s="5"/>
      <c r="N35" s="5"/>
      <c r="O35" s="5"/>
      <c r="P35" s="5"/>
    </row>
    <row r="36" spans="1:16" ht="54.75" customHeight="1" thickTop="1" x14ac:dyDescent="0.25">
      <c r="B36" s="131"/>
      <c r="C36" s="131"/>
      <c r="D36" s="131"/>
      <c r="E36" s="131"/>
      <c r="F36" s="131"/>
      <c r="G36" s="131"/>
    </row>
    <row r="37" spans="1:16" x14ac:dyDescent="0.25"/>
    <row r="38" spans="1:16" x14ac:dyDescent="0.25"/>
    <row r="39" spans="1:16" x14ac:dyDescent="0.25"/>
    <row r="40" spans="1:16" x14ac:dyDescent="0.25"/>
    <row r="41" spans="1:16" x14ac:dyDescent="0.25"/>
    <row r="42" spans="1:16" x14ac:dyDescent="0.25"/>
    <row r="43" spans="1:16" x14ac:dyDescent="0.25"/>
    <row r="44" spans="1:16" x14ac:dyDescent="0.25"/>
    <row r="45" spans="1:16" x14ac:dyDescent="0.25"/>
    <row r="46" spans="1:16" x14ac:dyDescent="0.25"/>
    <row r="47" spans="1:16" x14ac:dyDescent="0.25"/>
    <row r="48" spans="1:16" x14ac:dyDescent="0.25"/>
    <row r="49" x14ac:dyDescent="0.25"/>
  </sheetData>
  <mergeCells count="3">
    <mergeCell ref="A8:C8"/>
    <mergeCell ref="H16:J16"/>
    <mergeCell ref="A10:C10"/>
  </mergeCells>
  <conditionalFormatting sqref="K17:K19">
    <cfRule type="cellIs" dxfId="7" priority="1" operator="greaterThan">
      <formula>0.15</formula>
    </cfRule>
    <cfRule type="cellIs" dxfId="6" priority="2" operator="between">
      <formula>0</formula>
      <formula>0.15</formula>
    </cfRule>
    <cfRule type="cellIs" dxfId="5" priority="3" operator="between">
      <formula>-1</formula>
      <formula>0</formula>
    </cfRule>
  </conditionalFormatting>
  <pageMargins left="0.7" right="0.7" top="0.75" bottom="0.75" header="0.3" footer="0.3"/>
  <pageSetup paperSize="9"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40625" defaultRowHeight="17.25" x14ac:dyDescent="0.3"/>
  <cols>
    <col min="1" max="1" width="56.85546875" style="4" customWidth="1"/>
    <col min="2" max="16" width="14.7109375" style="5" customWidth="1"/>
    <col min="17" max="17" width="17" style="5" customWidth="1"/>
    <col min="18" max="18" width="19" style="4" customWidth="1"/>
    <col min="19" max="20" width="15.42578125" style="4" customWidth="1"/>
    <col min="21" max="16384" width="9.140625" style="4"/>
  </cols>
  <sheetData>
    <row r="1" spans="1:17" ht="99.95" customHeight="1" x14ac:dyDescent="0.3">
      <c r="B1" s="16" t="s">
        <v>132</v>
      </c>
      <c r="G1"/>
    </row>
    <row r="2" spans="1:17" ht="39.950000000000003" customHeight="1" x14ac:dyDescent="0.3">
      <c r="A2" s="96" t="s">
        <v>125</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4"/>
      <c r="M2" s="4"/>
      <c r="N2" s="10"/>
      <c r="O2" s="10"/>
      <c r="P2" s="10"/>
      <c r="Q2" s="94"/>
    </row>
    <row r="3" spans="1:17" ht="24.95" customHeight="1" x14ac:dyDescent="0.3">
      <c r="A3" s="198" t="s">
        <v>129</v>
      </c>
      <c r="B3" s="176"/>
      <c r="C3" s="161"/>
      <c r="D3" s="161"/>
      <c r="E3" s="161"/>
      <c r="F3" s="161"/>
      <c r="G3" s="161"/>
      <c r="H3" s="161"/>
      <c r="I3" s="161"/>
      <c r="J3" s="161"/>
      <c r="K3" s="162"/>
      <c r="L3" s="4"/>
      <c r="M3" s="4"/>
      <c r="N3" s="10"/>
      <c r="O3" s="10"/>
      <c r="P3" s="10"/>
      <c r="Q3" s="94"/>
    </row>
    <row r="4" spans="1:17" ht="24.95" customHeight="1" x14ac:dyDescent="0.3">
      <c r="A4" s="190" t="s">
        <v>120</v>
      </c>
      <c r="B4" s="113">
        <f>IFERROR(ABS(VLOOKUP("Asset Writedown*",'7.TIKR_IS'!$A:$K,COLUMN(#REF!),FALSE)/'1.FFO'!B3),0%)+IFERROR(ABS(VLOOKUP("Impairment of Goodwill*",'7.TIKR_IS'!$A:$K,COLUMN(#REF!),FALSE)/'1.FFO'!B3),0%)</f>
        <v>0</v>
      </c>
      <c r="C4" s="21">
        <f>IFERROR(ABS(VLOOKUP("Asset Writedown*",'7.TIKR_IS'!$A:$K,COLUMN(#REF!),FALSE)/'1.FFO'!C3),0%)+IFERROR(ABS(VLOOKUP("Impairment of Goodwill*",'7.TIKR_IS'!$A:$K,COLUMN(#REF!),FALSE)/'1.FFO'!C3),0%)</f>
        <v>0</v>
      </c>
      <c r="D4" s="21">
        <f>IFERROR(ABS(VLOOKUP("Asset Writedown*",'7.TIKR_IS'!$A:$K,COLUMN(#REF!),FALSE)/'1.FFO'!D3),0%)+IFERROR(ABS(VLOOKUP("Impairment of Goodwill*",'7.TIKR_IS'!$A:$K,COLUMN(#REF!),FALSE)/'1.FFO'!D3),0%)</f>
        <v>0</v>
      </c>
      <c r="E4" s="21">
        <f>IFERROR(ABS(VLOOKUP("Asset Writedown*",'7.TIKR_IS'!$A:$K,COLUMN(#REF!),FALSE)/'1.FFO'!E3),0%)+IFERROR(ABS(VLOOKUP("Impairment of Goodwill*",'7.TIKR_IS'!$A:$K,COLUMN(#REF!),FALSE)/'1.FFO'!E3),0%)</f>
        <v>0</v>
      </c>
      <c r="F4" s="21">
        <f>IFERROR(ABS(VLOOKUP("Asset Writedown*",'7.TIKR_IS'!$A:$K,COLUMN(#REF!),FALSE)/'1.FFO'!F3),0%)+IFERROR(ABS(VLOOKUP("Impairment of Goodwill*",'7.TIKR_IS'!$A:$K,COLUMN(#REF!),FALSE)/'1.FFO'!F3),0%)</f>
        <v>0</v>
      </c>
      <c r="G4" s="21">
        <f>IFERROR(ABS(VLOOKUP("Asset Writedown*",'7.TIKR_IS'!$A:$K,COLUMN(#REF!),FALSE)/'1.FFO'!G3),0%)+IFERROR(ABS(VLOOKUP("Impairment of Goodwill*",'7.TIKR_IS'!$A:$K,COLUMN(#REF!),FALSE)/'1.FFO'!G3),0%)</f>
        <v>0</v>
      </c>
      <c r="H4" s="21">
        <f>IFERROR(ABS(VLOOKUP("Asset Writedown*",'7.TIKR_IS'!$A:$K,COLUMN(#REF!),FALSE)/'1.FFO'!H3),0%)+IFERROR(ABS(VLOOKUP("Impairment of Goodwill*",'7.TIKR_IS'!$A:$K,COLUMN(#REF!),FALSE)/'1.FFO'!H3),0%)</f>
        <v>0</v>
      </c>
      <c r="I4" s="21">
        <f>IFERROR(ABS(VLOOKUP("Asset Writedown*",'7.TIKR_IS'!$A:$K,COLUMN(#REF!),FALSE)/'1.FFO'!I3),0%)+IFERROR(ABS(VLOOKUP("Impairment of Goodwill*",'7.TIKR_IS'!$A:$K,COLUMN(#REF!),FALSE)/'1.FFO'!I3),0%)</f>
        <v>0</v>
      </c>
      <c r="J4" s="21">
        <f>IFERROR(ABS(VLOOKUP("Asset Writedown*",'7.TIKR_IS'!$A:$K,COLUMN(#REF!),FALSE)/'1.FFO'!J3),0%)+IFERROR(ABS(VLOOKUP("Impairment of Goodwill*",'7.TIKR_IS'!$A:$K,COLUMN(#REF!),FALSE)/'1.FFO'!J3),0%)</f>
        <v>0</v>
      </c>
      <c r="K4" s="114">
        <f>IFERROR(ABS(VLOOKUP("Asset Writedown*",'7.TIKR_IS'!$A:$K,COLUMN(#REF!),FALSE)/'1.FFO'!K3),0%)+IFERROR(ABS(VLOOKUP("Impairment of Goodwill*",'7.TIKR_IS'!$A:$K,COLUMN(#REF!),FALSE)/'1.FFO'!K3),0%)</f>
        <v>0</v>
      </c>
      <c r="L4" s="4"/>
      <c r="M4" s="4"/>
      <c r="N4" s="6"/>
      <c r="O4" s="10"/>
      <c r="P4" s="10"/>
      <c r="Q4" s="94"/>
    </row>
    <row r="5" spans="1:17" ht="24.95" customHeight="1" x14ac:dyDescent="0.3">
      <c r="A5" s="190" t="s">
        <v>121</v>
      </c>
      <c r="B5" s="113">
        <f>IFERROR(VLOOKUP("Divestitures*",'9.TIKR_CF'!$A:$K,COLUMN(B2),FALSE)/'1.FFO'!B3,0%)</f>
        <v>0</v>
      </c>
      <c r="C5" s="21">
        <f>IFERROR(VLOOKUP("Divestitures*",'9.TIKR_CF'!$A:$K,COLUMN(C2),FALSE)/'1.FFO'!C3,0%)</f>
        <v>0</v>
      </c>
      <c r="D5" s="21">
        <f>IFERROR(VLOOKUP("Divestitures*",'9.TIKR_CF'!$A:$K,COLUMN(D2),FALSE)/'1.FFO'!D3,0%)</f>
        <v>0</v>
      </c>
      <c r="E5" s="21">
        <f>IFERROR(VLOOKUP("Divestitures*",'9.TIKR_CF'!$A:$K,COLUMN(E2),FALSE)/'1.FFO'!E3,0%)</f>
        <v>0</v>
      </c>
      <c r="F5" s="21">
        <f>IFERROR(VLOOKUP("Divestitures*",'9.TIKR_CF'!$A:$K,COLUMN(F2),FALSE)/'1.FFO'!F3,0%)</f>
        <v>0</v>
      </c>
      <c r="G5" s="21">
        <f>IFERROR(VLOOKUP("Divestitures*",'9.TIKR_CF'!$A:$K,COLUMN(G2),FALSE)/'1.FFO'!G3,0%)</f>
        <v>0</v>
      </c>
      <c r="H5" s="21">
        <f>IFERROR(VLOOKUP("Divestitures*",'9.TIKR_CF'!$A:$K,COLUMN(H2),FALSE)/'1.FFO'!H3,0%)</f>
        <v>0</v>
      </c>
      <c r="I5" s="21">
        <f>IFERROR(VLOOKUP("Divestitures*",'9.TIKR_CF'!$A:$K,COLUMN(I2),FALSE)/'1.FFO'!I3,0%)</f>
        <v>0</v>
      </c>
      <c r="J5" s="21">
        <f>IFERROR(VLOOKUP("Divestitures*",'9.TIKR_CF'!$A:$K,COLUMN(J2),FALSE)/'1.FFO'!J3,0%)</f>
        <v>0</v>
      </c>
      <c r="K5" s="114">
        <f>IFERROR(VLOOKUP("Divestitures*",'9.TIKR_CF'!$A:$K,COLUMN(K2),FALSE)/'1.FFO'!K3,0%)</f>
        <v>0</v>
      </c>
      <c r="L5" s="4"/>
      <c r="M5" s="4"/>
      <c r="N5" s="6"/>
      <c r="O5" s="10"/>
      <c r="P5" s="10"/>
      <c r="Q5" s="94"/>
    </row>
    <row r="6" spans="1:17" ht="24.95" customHeight="1" x14ac:dyDescent="0.3">
      <c r="A6" s="190" t="s">
        <v>153</v>
      </c>
      <c r="B6" s="113">
        <f>IFERROR(VLOOKUP("Stock-based compensation*",'9.TIKR_CF'!$A:$K,COLUMN(B1),FALSE)/'1.FFO'!B2,0%)</f>
        <v>0</v>
      </c>
      <c r="C6" s="21">
        <f>IFERROR(VLOOKUP("Stock-based compensation*",'9.TIKR_CF'!$A:$K,COLUMN(C1),FALSE)/'1.FFO'!C2,0%)</f>
        <v>0</v>
      </c>
      <c r="D6" s="21">
        <f>IFERROR(VLOOKUP("Stock-based compensation*",'9.TIKR_CF'!$A:$K,COLUMN(D1),FALSE)/'1.FFO'!D2,0%)</f>
        <v>0</v>
      </c>
      <c r="E6" s="21">
        <f>IFERROR(VLOOKUP("Stock-based compensation*",'9.TIKR_CF'!$A:$K,COLUMN(E1),FALSE)/'1.FFO'!E2,0%)</f>
        <v>0</v>
      </c>
      <c r="F6" s="21">
        <f>IFERROR(VLOOKUP("Stock-based compensation*",'9.TIKR_CF'!$A:$K,COLUMN(F1),FALSE)/'1.FFO'!F2,0%)</f>
        <v>0</v>
      </c>
      <c r="G6" s="21">
        <f>IFERROR(VLOOKUP("Stock-based compensation*",'9.TIKR_CF'!$A:$K,COLUMN(G1),FALSE)/'1.FFO'!G2,0%)</f>
        <v>0</v>
      </c>
      <c r="H6" s="21">
        <f>IFERROR(VLOOKUP("Stock-based compensation*",'9.TIKR_CF'!$A:$K,COLUMN(H1),FALSE)/'1.FFO'!H2,0%)</f>
        <v>0</v>
      </c>
      <c r="I6" s="21">
        <f>IFERROR(VLOOKUP("Stock-based compensation*",'9.TIKR_CF'!$A:$K,COLUMN(I1),FALSE)/'1.FFO'!I2,0%)</f>
        <v>0</v>
      </c>
      <c r="J6" s="21">
        <f>IFERROR(VLOOKUP("Stock-based compensation*",'9.TIKR_CF'!$A:$K,COLUMN(J1),FALSE)/'1.FFO'!J2,0%)</f>
        <v>0</v>
      </c>
      <c r="K6" s="114">
        <f>IFERROR(VLOOKUP("Stock-based compensation*",'9.TIKR_CF'!$A:$K,COLUMN(K1),FALSE)/'1.FFO'!K2,0%)</f>
        <v>0</v>
      </c>
      <c r="L6" s="4"/>
      <c r="M6" s="4"/>
      <c r="N6" s="6"/>
      <c r="O6" s="10"/>
      <c r="P6" s="10"/>
      <c r="Q6" s="94"/>
    </row>
    <row r="7" spans="1:17" ht="24.95" customHeight="1" x14ac:dyDescent="0.3">
      <c r="A7" s="191" t="s">
        <v>122</v>
      </c>
      <c r="B7" s="122">
        <f>IFERROR(VLOOKUP("Issuance of Common Stock*",'9.TIKR_CF'!$A:$K,COLUMN(B2),FALSE)/'1.FFO'!B3,0%)</f>
        <v>0</v>
      </c>
      <c r="C7" s="119">
        <f>IFERROR(VLOOKUP("Issuance of Common Stock*",'9.TIKR_CF'!$A:$K,COLUMN(C2),FALSE)/'1.FFO'!C3,0%)</f>
        <v>0</v>
      </c>
      <c r="D7" s="119">
        <f>IFERROR(VLOOKUP("Issuance of Common Stock*",'9.TIKR_CF'!$A:$K,COLUMN(D2),FALSE)/'1.FFO'!D3,0%)</f>
        <v>0</v>
      </c>
      <c r="E7" s="119">
        <f>IFERROR(VLOOKUP("Issuance of Common Stock*",'9.TIKR_CF'!$A:$K,COLUMN(E2),FALSE)/'1.FFO'!E3,0%)</f>
        <v>0</v>
      </c>
      <c r="F7" s="119">
        <f>IFERROR(VLOOKUP("Issuance of Common Stock*",'9.TIKR_CF'!$A:$K,COLUMN(F2),FALSE)/'1.FFO'!F3,0%)</f>
        <v>0</v>
      </c>
      <c r="G7" s="119">
        <f>IFERROR(VLOOKUP("Issuance of Common Stock*",'9.TIKR_CF'!$A:$K,COLUMN(G2),FALSE)/'1.FFO'!G3,0%)</f>
        <v>0</v>
      </c>
      <c r="H7" s="119">
        <f>IFERROR(VLOOKUP("Issuance of Common Stock*",'9.TIKR_CF'!$A:$K,COLUMN(H2),FALSE)/'1.FFO'!H3,0%)</f>
        <v>0</v>
      </c>
      <c r="I7" s="119">
        <f>IFERROR(VLOOKUP("Issuance of Common Stock*",'9.TIKR_CF'!$A:$K,COLUMN(I2),FALSE)/'1.FFO'!I3,0%)</f>
        <v>0</v>
      </c>
      <c r="J7" s="119">
        <f>IFERROR(VLOOKUP("Issuance of Common Stock*",'9.TIKR_CF'!$A:$K,COLUMN(J2),FALSE)/'1.FFO'!J3,0%)</f>
        <v>0</v>
      </c>
      <c r="K7" s="163">
        <f>IFERROR(VLOOKUP("Issuance of Common Stock*",'9.TIKR_CF'!$A:$K,COLUMN(K2),FALSE)/'1.FFO'!K3,0%)</f>
        <v>0</v>
      </c>
      <c r="L7" s="4"/>
      <c r="M7" s="4"/>
      <c r="N7" s="6"/>
    </row>
    <row r="8" spans="1:17" ht="24.95" customHeight="1" x14ac:dyDescent="0.3">
      <c r="A8" s="138"/>
      <c r="B8" s="94"/>
      <c r="C8" s="94"/>
      <c r="D8" s="94"/>
      <c r="E8" s="94"/>
      <c r="F8" s="94"/>
      <c r="G8" s="94"/>
      <c r="H8" s="94"/>
      <c r="I8" s="94"/>
      <c r="J8" s="94"/>
      <c r="K8" s="94"/>
      <c r="L8" s="94"/>
      <c r="M8" s="94"/>
    </row>
    <row r="9" spans="1:17" ht="39.950000000000003" customHeight="1" x14ac:dyDescent="0.3">
      <c r="A9" s="96" t="s">
        <v>126</v>
      </c>
      <c r="B9" s="53" t="s">
        <v>99</v>
      </c>
      <c r="C9" s="189"/>
      <c r="D9" s="189"/>
      <c r="E9" s="189"/>
      <c r="F9" s="189"/>
      <c r="G9" s="189"/>
      <c r="H9" s="189"/>
      <c r="I9" s="189"/>
      <c r="J9" s="189"/>
      <c r="K9" s="189"/>
      <c r="L9" s="4"/>
      <c r="M9" s="4"/>
      <c r="N9" s="10"/>
      <c r="O9" s="10"/>
      <c r="P9" s="10"/>
      <c r="Q9" s="94"/>
    </row>
    <row r="10" spans="1:17" ht="24.95" customHeight="1" x14ac:dyDescent="0.3">
      <c r="A10" s="198" t="s">
        <v>127</v>
      </c>
      <c r="B10" s="196"/>
      <c r="C10" s="62"/>
      <c r="D10" s="62"/>
      <c r="E10" s="62"/>
      <c r="F10" s="62"/>
      <c r="G10" s="62"/>
      <c r="H10" s="62"/>
      <c r="I10" s="62"/>
      <c r="J10" s="62"/>
      <c r="K10" s="62"/>
      <c r="L10" s="177"/>
      <c r="M10" s="94"/>
      <c r="N10" s="6"/>
    </row>
    <row r="11" spans="1:17" ht="24.95" customHeight="1" x14ac:dyDescent="0.3">
      <c r="A11" s="190" t="s">
        <v>128</v>
      </c>
      <c r="B11" s="192">
        <f>TIKR_Cálculos!L31</f>
        <v>0</v>
      </c>
      <c r="C11" s="62"/>
      <c r="D11" s="62"/>
      <c r="E11" s="62"/>
      <c r="F11" s="62"/>
      <c r="G11" s="62"/>
      <c r="H11" s="62"/>
      <c r="I11" s="62"/>
      <c r="J11" s="62"/>
      <c r="K11" s="62"/>
      <c r="L11" s="177"/>
      <c r="M11" s="94"/>
      <c r="N11" s="6"/>
    </row>
    <row r="12" spans="1:17" ht="24.95" customHeight="1" x14ac:dyDescent="0.3">
      <c r="A12" s="190" t="s">
        <v>141</v>
      </c>
      <c r="B12" s="192">
        <f>TIKR_Cálculos!L32</f>
        <v>0</v>
      </c>
    </row>
    <row r="13" spans="1:17" ht="24.95" customHeight="1" x14ac:dyDescent="0.3">
      <c r="A13" s="190" t="s">
        <v>139</v>
      </c>
      <c r="B13" s="192">
        <f>TIKR_Cálculos!L33</f>
        <v>0</v>
      </c>
    </row>
    <row r="14" spans="1:17" ht="24.95" customHeight="1" x14ac:dyDescent="0.3">
      <c r="A14" s="190" t="s">
        <v>130</v>
      </c>
      <c r="B14" s="192">
        <f>TIKR_Cálculos!L34</f>
        <v>0</v>
      </c>
    </row>
    <row r="15" spans="1:17" ht="24.95" customHeight="1" x14ac:dyDescent="0.3">
      <c r="A15" s="191" t="s">
        <v>148</v>
      </c>
      <c r="B15" s="197">
        <f>TIKR_Cálculos!L35</f>
        <v>0</v>
      </c>
    </row>
    <row r="16" spans="1:17" ht="24.95" customHeight="1" x14ac:dyDescent="0.3"/>
    <row r="17" spans="1:20" ht="24.95" customHeight="1" x14ac:dyDescent="0.3">
      <c r="B17" s="199"/>
      <c r="C17" s="199"/>
      <c r="D17" s="199"/>
      <c r="E17" s="199"/>
      <c r="F17" s="199"/>
      <c r="G17" s="199"/>
      <c r="H17" s="199"/>
      <c r="I17" s="199"/>
      <c r="J17" s="199"/>
      <c r="K17" s="199"/>
    </row>
    <row r="18" spans="1:20" ht="24.95" customHeight="1" x14ac:dyDescent="0.3"/>
    <row r="19" spans="1:20" s="5" customFormat="1" ht="24.95" customHeight="1" x14ac:dyDescent="0.3">
      <c r="A19" s="4"/>
      <c r="R19" s="4"/>
      <c r="S19" s="4"/>
      <c r="T19" s="4"/>
    </row>
    <row r="20" spans="1:20" s="5" customFormat="1" ht="24.95" customHeight="1" x14ac:dyDescent="0.3">
      <c r="A20" s="4"/>
      <c r="R20" s="4"/>
      <c r="S20" s="4"/>
      <c r="T20" s="4"/>
    </row>
    <row r="21" spans="1:20" s="5" customFormat="1" ht="24.95" customHeight="1" x14ac:dyDescent="0.3">
      <c r="A21" s="4"/>
      <c r="R21" s="4"/>
      <c r="S21" s="4"/>
      <c r="T21" s="4"/>
    </row>
    <row r="22" spans="1:20" s="5" customFormat="1" ht="24.95" customHeight="1" x14ac:dyDescent="0.3">
      <c r="A22" s="4"/>
      <c r="R22" s="4"/>
      <c r="S22" s="4"/>
      <c r="T22" s="4"/>
    </row>
    <row r="23" spans="1:20" s="5" customFormat="1" ht="24.95" customHeight="1" x14ac:dyDescent="0.3">
      <c r="A23" s="4"/>
      <c r="R23" s="4"/>
      <c r="S23" s="4"/>
      <c r="T23" s="4"/>
    </row>
    <row r="24" spans="1:20" s="5" customFormat="1" ht="24.95" customHeight="1" x14ac:dyDescent="0.3">
      <c r="A24" s="4"/>
      <c r="R24" s="4"/>
      <c r="S24" s="4"/>
      <c r="T24" s="4"/>
    </row>
    <row r="25" spans="1:20" s="5" customFormat="1" ht="24.95" customHeight="1" x14ac:dyDescent="0.3">
      <c r="A25" s="4"/>
      <c r="R25" s="4"/>
      <c r="S25" s="4"/>
      <c r="T25" s="4"/>
    </row>
    <row r="26" spans="1:20" s="5" customFormat="1" ht="24.95" customHeight="1" x14ac:dyDescent="0.3">
      <c r="A26" s="4"/>
      <c r="R26" s="4"/>
      <c r="S26" s="4"/>
      <c r="T26" s="4"/>
    </row>
    <row r="27" spans="1:20" s="5" customFormat="1" ht="24.95" customHeight="1" x14ac:dyDescent="0.3">
      <c r="A27" s="4"/>
      <c r="R27" s="4"/>
      <c r="S27" s="4"/>
      <c r="T27" s="4"/>
    </row>
    <row r="28" spans="1:20" s="5" customFormat="1" ht="24.95" customHeight="1" x14ac:dyDescent="0.3">
      <c r="A28" s="4"/>
      <c r="R28" s="4"/>
      <c r="S28" s="4"/>
      <c r="T28" s="4"/>
    </row>
    <row r="31" spans="1:20" s="5" customFormat="1" x14ac:dyDescent="0.3">
      <c r="A31" s="4"/>
      <c r="L31" s="70"/>
      <c r="M31" s="70"/>
      <c r="R31" s="4"/>
      <c r="S31" s="4"/>
      <c r="T31" s="4"/>
    </row>
    <row r="32" spans="1:20" s="5" customFormat="1" x14ac:dyDescent="0.3">
      <c r="A32" s="4"/>
      <c r="L32" s="177"/>
      <c r="M32" s="177"/>
      <c r="R32" s="4"/>
      <c r="S32" s="4"/>
      <c r="T32" s="4"/>
    </row>
    <row r="33" spans="1:20" s="5" customFormat="1" x14ac:dyDescent="0.3">
      <c r="A33" s="4"/>
      <c r="L33" s="177"/>
      <c r="M33" s="177"/>
      <c r="R33" s="4"/>
      <c r="S33" s="4"/>
      <c r="T33" s="4"/>
    </row>
    <row r="34" spans="1:20" s="5" customFormat="1" x14ac:dyDescent="0.3">
      <c r="A34" s="4"/>
      <c r="L34" s="177"/>
      <c r="M34" s="177"/>
      <c r="R34" s="4"/>
      <c r="S34" s="4"/>
      <c r="T34" s="4"/>
    </row>
    <row r="35" spans="1:20" s="5" customFormat="1" x14ac:dyDescent="0.3">
      <c r="A35" s="4"/>
      <c r="L35" s="177"/>
      <c r="M35" s="177"/>
      <c r="R35" s="4"/>
      <c r="S35" s="4"/>
      <c r="T35" s="4"/>
    </row>
    <row r="36" spans="1:20" s="5" customFormat="1" x14ac:dyDescent="0.3">
      <c r="A36" s="4"/>
      <c r="L36" s="177"/>
      <c r="M36" s="177"/>
      <c r="R36" s="4"/>
      <c r="S36" s="4"/>
      <c r="T36" s="4"/>
    </row>
  </sheetData>
  <conditionalFormatting sqref="B11:B15">
    <cfRule type="cellIs" dxfId="4" priority="1" operator="greaterThan">
      <formula>1</formula>
    </cfRule>
    <cfRule type="cellIs" dxfId="3" priority="6" operator="greaterThanOrEqual">
      <formula>1</formula>
    </cfRule>
  </conditionalFormatting>
  <conditionalFormatting sqref="B3:K5">
    <cfRule type="cellIs" dxfId="2" priority="4" operator="greaterThan">
      <formula>0.01</formula>
    </cfRule>
  </conditionalFormatting>
  <conditionalFormatting sqref="B4:K7">
    <cfRule type="cellIs" dxfId="1" priority="2" operator="greaterThan">
      <formula>0.02</formula>
    </cfRule>
  </conditionalFormatting>
  <conditionalFormatting sqref="B6:K7">
    <cfRule type="cellIs" dxfId="0" priority="3"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2:L62"/>
  <sheetViews>
    <sheetView showGridLines="0" workbookViewId="0">
      <pane xSplit="1" ySplit="2" topLeftCell="B3" activePane="bottomRight" state="frozen"/>
      <selection pane="topRight" activeCell="B1" sqref="B1"/>
      <selection pane="bottomLeft" activeCell="A3" sqref="A3"/>
      <selection pane="bottomRight" activeCell="F38" sqref="F38"/>
    </sheetView>
  </sheetViews>
  <sheetFormatPr baseColWidth="10" defaultColWidth="0" defaultRowHeight="15" x14ac:dyDescent="0.25"/>
  <cols>
    <col min="1" max="1" width="29" customWidth="1"/>
    <col min="2" max="11" width="14.7109375" style="3" customWidth="1"/>
    <col min="12" max="12" width="14.7109375" style="3" hidden="1" customWidth="1"/>
    <col min="13" max="16384" width="11.42578125" hidden="1"/>
  </cols>
  <sheetData>
    <row r="2" spans="2:12" s="75" customFormat="1" x14ac:dyDescent="0.25">
      <c r="B2" s="77"/>
      <c r="C2" s="77"/>
      <c r="D2" s="77"/>
      <c r="E2" s="77"/>
      <c r="F2" s="77"/>
      <c r="G2" s="77"/>
      <c r="H2" s="77"/>
      <c r="I2" s="77"/>
      <c r="J2" s="77"/>
      <c r="K2" s="77"/>
      <c r="L2" s="77"/>
    </row>
    <row r="3" spans="2:12" x14ac:dyDescent="0.25">
      <c r="B3" s="74"/>
      <c r="C3" s="74"/>
      <c r="D3" s="74"/>
      <c r="E3" s="74"/>
      <c r="F3" s="74"/>
      <c r="G3" s="74"/>
      <c r="H3" s="74"/>
      <c r="I3" s="74"/>
      <c r="J3" s="74"/>
      <c r="K3" s="74"/>
      <c r="L3" s="74"/>
    </row>
    <row r="4" spans="2:12" x14ac:dyDescent="0.25">
      <c r="B4" s="74"/>
      <c r="C4" s="74"/>
      <c r="D4" s="74"/>
      <c r="E4" s="74"/>
      <c r="F4" s="74"/>
      <c r="G4" s="74"/>
      <c r="H4" s="74"/>
      <c r="I4" s="74"/>
      <c r="J4" s="74"/>
      <c r="K4" s="74"/>
      <c r="L4" s="74"/>
    </row>
    <row r="5" spans="2:12" x14ac:dyDescent="0.25">
      <c r="B5" s="74"/>
      <c r="C5" s="74"/>
      <c r="D5" s="74"/>
      <c r="E5" s="74"/>
      <c r="F5" s="74"/>
      <c r="G5" s="74"/>
      <c r="H5" s="74"/>
      <c r="I5" s="74"/>
      <c r="J5" s="74"/>
      <c r="K5" s="74"/>
      <c r="L5" s="74"/>
    </row>
    <row r="6" spans="2:12" x14ac:dyDescent="0.25">
      <c r="B6" s="74"/>
      <c r="C6" s="74"/>
      <c r="D6" s="74"/>
      <c r="E6" s="74"/>
      <c r="F6" s="74"/>
      <c r="G6" s="74"/>
      <c r="H6" s="74"/>
      <c r="I6" s="74"/>
      <c r="J6" s="74"/>
      <c r="K6" s="74"/>
      <c r="L6" s="74"/>
    </row>
    <row r="7" spans="2:12" x14ac:dyDescent="0.25">
      <c r="B7" s="74"/>
      <c r="C7" s="74"/>
      <c r="D7" s="74"/>
      <c r="E7" s="74"/>
      <c r="F7" s="74"/>
      <c r="G7" s="74"/>
      <c r="H7" s="74"/>
      <c r="I7" s="74"/>
      <c r="J7" s="74"/>
      <c r="K7" s="74"/>
      <c r="L7" s="74"/>
    </row>
    <row r="8" spans="2:12" x14ac:dyDescent="0.25">
      <c r="B8" s="74"/>
      <c r="C8" s="74"/>
      <c r="D8" s="74"/>
      <c r="E8" s="74"/>
      <c r="F8" s="74"/>
      <c r="G8" s="74"/>
      <c r="H8" s="74"/>
      <c r="I8" s="74"/>
      <c r="J8" s="74"/>
      <c r="K8" s="74"/>
      <c r="L8" s="74"/>
    </row>
    <row r="9" spans="2:12" x14ac:dyDescent="0.25">
      <c r="B9" s="74"/>
      <c r="C9" s="74"/>
      <c r="D9" s="74"/>
      <c r="E9" s="74"/>
      <c r="F9" s="74"/>
      <c r="G9" s="74"/>
      <c r="H9" s="74"/>
      <c r="I9" s="74"/>
      <c r="J9" s="74"/>
      <c r="K9" s="74"/>
      <c r="L9" s="74"/>
    </row>
    <row r="10" spans="2:12" x14ac:dyDescent="0.25">
      <c r="B10" s="74"/>
      <c r="C10" s="74"/>
      <c r="D10" s="74"/>
      <c r="E10" s="74"/>
      <c r="F10" s="74"/>
      <c r="G10" s="74"/>
      <c r="H10" s="74"/>
      <c r="I10" s="74"/>
      <c r="J10" s="74"/>
      <c r="K10" s="74"/>
      <c r="L10" s="74"/>
    </row>
    <row r="11" spans="2:12" x14ac:dyDescent="0.25">
      <c r="B11" s="74"/>
      <c r="C11" s="74"/>
      <c r="D11" s="74"/>
      <c r="E11" s="74"/>
      <c r="F11" s="74"/>
      <c r="G11" s="74"/>
      <c r="H11" s="74"/>
      <c r="I11" s="74"/>
      <c r="J11" s="74"/>
      <c r="K11" s="74"/>
      <c r="L11" s="74"/>
    </row>
    <row r="12" spans="2:12" x14ac:dyDescent="0.25">
      <c r="B12" s="74"/>
      <c r="C12" s="74"/>
      <c r="D12" s="74"/>
      <c r="E12" s="74"/>
      <c r="F12" s="74"/>
      <c r="G12" s="74"/>
      <c r="H12" s="74"/>
      <c r="I12" s="74"/>
      <c r="J12" s="74"/>
      <c r="K12" s="74"/>
      <c r="L12" s="74"/>
    </row>
    <row r="13" spans="2:12" x14ac:dyDescent="0.25">
      <c r="B13" s="74"/>
      <c r="C13" s="74"/>
      <c r="D13" s="74"/>
      <c r="E13" s="74"/>
      <c r="F13" s="74"/>
      <c r="G13" s="74"/>
      <c r="H13" s="74"/>
      <c r="I13" s="74"/>
      <c r="J13" s="74"/>
      <c r="K13" s="74"/>
      <c r="L13" s="74"/>
    </row>
    <row r="14" spans="2:12" x14ac:dyDescent="0.25">
      <c r="B14" s="74"/>
      <c r="C14" s="74"/>
      <c r="D14" s="74"/>
      <c r="E14" s="74"/>
      <c r="F14" s="74"/>
      <c r="G14" s="74"/>
      <c r="H14" s="74"/>
      <c r="I14" s="74"/>
      <c r="J14" s="74"/>
      <c r="K14" s="74"/>
      <c r="L14" s="74"/>
    </row>
    <row r="15" spans="2:12" x14ac:dyDescent="0.25">
      <c r="B15" s="74"/>
      <c r="C15" s="74"/>
      <c r="D15" s="74"/>
      <c r="E15" s="74"/>
      <c r="F15" s="74"/>
      <c r="G15" s="74"/>
      <c r="H15" s="74"/>
      <c r="I15" s="74"/>
      <c r="J15" s="74"/>
      <c r="K15" s="74"/>
      <c r="L15" s="74"/>
    </row>
    <row r="16" spans="2:12" x14ac:dyDescent="0.25">
      <c r="B16" s="74"/>
      <c r="C16" s="74"/>
      <c r="D16" s="74"/>
      <c r="E16" s="74"/>
      <c r="F16" s="74"/>
      <c r="G16" s="74"/>
      <c r="H16" s="74"/>
      <c r="I16" s="74"/>
      <c r="J16" s="74"/>
      <c r="K16" s="74"/>
      <c r="L16" s="74"/>
    </row>
    <row r="17" spans="2:12" x14ac:dyDescent="0.25">
      <c r="B17" s="74"/>
      <c r="C17" s="74"/>
      <c r="D17" s="74"/>
      <c r="E17" s="74"/>
      <c r="F17" s="74"/>
      <c r="G17" s="74"/>
      <c r="H17" s="74"/>
      <c r="I17" s="74"/>
      <c r="J17" s="74"/>
      <c r="K17" s="74"/>
      <c r="L17" s="74"/>
    </row>
    <row r="18" spans="2:12" x14ac:dyDescent="0.25">
      <c r="B18" s="74"/>
      <c r="C18" s="74"/>
      <c r="D18" s="74"/>
      <c r="E18" s="74"/>
      <c r="F18" s="74"/>
      <c r="G18" s="74"/>
      <c r="H18" s="74"/>
      <c r="I18" s="74"/>
      <c r="J18" s="74"/>
      <c r="K18" s="74"/>
      <c r="L18" s="74"/>
    </row>
    <row r="19" spans="2:12" x14ac:dyDescent="0.25">
      <c r="B19" s="74"/>
      <c r="C19" s="74"/>
      <c r="D19" s="74"/>
      <c r="E19" s="74"/>
      <c r="F19" s="74"/>
      <c r="G19" s="74"/>
      <c r="H19" s="74"/>
      <c r="I19" s="74"/>
      <c r="J19" s="74"/>
      <c r="K19" s="74"/>
      <c r="L19" s="74"/>
    </row>
    <row r="20" spans="2:12" x14ac:dyDescent="0.25">
      <c r="B20" s="74"/>
      <c r="C20" s="74"/>
      <c r="D20" s="74"/>
      <c r="E20" s="74"/>
      <c r="F20" s="74"/>
      <c r="G20" s="74"/>
      <c r="H20" s="74"/>
      <c r="I20" s="74"/>
      <c r="J20" s="74"/>
      <c r="K20" s="74"/>
      <c r="L20" s="74"/>
    </row>
    <row r="21" spans="2:12" x14ac:dyDescent="0.25">
      <c r="B21" s="74"/>
      <c r="C21" s="74"/>
      <c r="D21" s="74"/>
      <c r="E21" s="74"/>
      <c r="F21" s="74"/>
      <c r="G21" s="74"/>
      <c r="H21" s="74"/>
      <c r="I21" s="74"/>
      <c r="J21" s="74"/>
      <c r="K21" s="74"/>
      <c r="L21" s="74"/>
    </row>
    <row r="22" spans="2:12" x14ac:dyDescent="0.25">
      <c r="B22" s="74"/>
      <c r="C22" s="74"/>
      <c r="D22" s="74"/>
      <c r="E22" s="74"/>
      <c r="F22" s="74"/>
      <c r="G22" s="74"/>
      <c r="H22" s="74"/>
      <c r="I22" s="74"/>
      <c r="J22" s="74"/>
      <c r="K22" s="74"/>
      <c r="L22" s="74"/>
    </row>
    <row r="23" spans="2:12" x14ac:dyDescent="0.25">
      <c r="B23" s="74"/>
      <c r="C23" s="74"/>
      <c r="D23" s="74"/>
      <c r="E23" s="74"/>
      <c r="F23" s="74"/>
      <c r="G23" s="74"/>
      <c r="H23" s="74"/>
      <c r="I23" s="74"/>
      <c r="J23" s="74"/>
      <c r="K23" s="74"/>
      <c r="L23" s="74"/>
    </row>
    <row r="24" spans="2:12" x14ac:dyDescent="0.25">
      <c r="B24" s="74"/>
      <c r="C24" s="74"/>
      <c r="D24" s="74"/>
      <c r="E24" s="74"/>
      <c r="F24" s="74"/>
      <c r="G24" s="74"/>
      <c r="H24" s="74"/>
      <c r="I24" s="74"/>
      <c r="J24" s="74"/>
      <c r="K24" s="74"/>
      <c r="L24" s="74"/>
    </row>
    <row r="25" spans="2:12" x14ac:dyDescent="0.25">
      <c r="B25" s="74"/>
      <c r="C25" s="74"/>
      <c r="D25" s="74"/>
      <c r="E25" s="74"/>
      <c r="F25" s="74"/>
      <c r="G25" s="74"/>
      <c r="H25" s="74"/>
      <c r="I25" s="74"/>
      <c r="J25" s="74"/>
      <c r="K25" s="74"/>
      <c r="L25" s="74"/>
    </row>
    <row r="26" spans="2:12" x14ac:dyDescent="0.25">
      <c r="B26" s="74"/>
      <c r="C26" s="74"/>
      <c r="D26" s="74"/>
      <c r="E26" s="74"/>
      <c r="F26" s="74"/>
      <c r="G26" s="74"/>
      <c r="H26" s="74"/>
      <c r="I26" s="74"/>
      <c r="J26" s="74"/>
      <c r="K26" s="74"/>
      <c r="L26" s="74"/>
    </row>
    <row r="27" spans="2:12" x14ac:dyDescent="0.25">
      <c r="B27" s="74"/>
      <c r="C27" s="74"/>
      <c r="D27" s="74"/>
      <c r="E27" s="74"/>
      <c r="F27" s="74"/>
      <c r="G27" s="74"/>
      <c r="H27" s="74"/>
      <c r="I27" s="74"/>
      <c r="J27" s="74"/>
      <c r="K27" s="74"/>
      <c r="L27" s="74"/>
    </row>
    <row r="28" spans="2:12" x14ac:dyDescent="0.25">
      <c r="B28" s="74"/>
      <c r="C28" s="74"/>
      <c r="D28" s="74"/>
      <c r="E28" s="74"/>
      <c r="F28" s="74"/>
      <c r="G28" s="74"/>
      <c r="H28" s="74"/>
      <c r="I28" s="74"/>
      <c r="J28" s="74"/>
      <c r="K28" s="74"/>
      <c r="L28" s="74"/>
    </row>
    <row r="29" spans="2:12" x14ac:dyDescent="0.25">
      <c r="B29" s="74"/>
      <c r="C29" s="74"/>
      <c r="D29" s="74"/>
      <c r="E29" s="74"/>
      <c r="F29" s="74"/>
      <c r="G29" s="74"/>
      <c r="H29" s="74"/>
      <c r="I29" s="74"/>
      <c r="J29" s="74"/>
      <c r="K29" s="74"/>
      <c r="L29" s="74"/>
    </row>
    <row r="30" spans="2:12" x14ac:dyDescent="0.25">
      <c r="B30" s="74"/>
      <c r="C30" s="74"/>
      <c r="D30" s="74"/>
      <c r="E30" s="74"/>
      <c r="F30" s="74"/>
      <c r="G30" s="74"/>
      <c r="H30" s="74"/>
      <c r="I30" s="74"/>
      <c r="J30" s="74"/>
      <c r="K30" s="74"/>
      <c r="L30" s="74"/>
    </row>
    <row r="31" spans="2:12" x14ac:dyDescent="0.25">
      <c r="B31" s="74"/>
      <c r="C31" s="74"/>
      <c r="D31" s="74"/>
      <c r="E31" s="74"/>
      <c r="F31" s="74"/>
      <c r="G31" s="74"/>
      <c r="H31" s="74"/>
      <c r="I31" s="74"/>
      <c r="J31" s="74"/>
      <c r="K31" s="74"/>
      <c r="L31" s="74"/>
    </row>
    <row r="32" spans="2:12" x14ac:dyDescent="0.25">
      <c r="B32" s="74"/>
      <c r="C32" s="74"/>
      <c r="D32" s="74"/>
      <c r="E32" s="74"/>
      <c r="F32" s="74"/>
      <c r="G32" s="74"/>
      <c r="H32" s="74"/>
      <c r="I32" s="74"/>
      <c r="J32" s="74"/>
      <c r="K32" s="74"/>
      <c r="L32" s="74"/>
    </row>
    <row r="33" spans="2:12" x14ac:dyDescent="0.25">
      <c r="B33" s="74"/>
      <c r="C33" s="74"/>
      <c r="D33" s="74"/>
      <c r="E33" s="74"/>
      <c r="F33" s="74"/>
      <c r="G33" s="74"/>
      <c r="H33" s="74"/>
      <c r="I33" s="74"/>
      <c r="J33" s="74"/>
      <c r="K33" s="74"/>
      <c r="L33" s="74"/>
    </row>
    <row r="34" spans="2:12" x14ac:dyDescent="0.25">
      <c r="B34" s="74"/>
      <c r="C34" s="74"/>
      <c r="D34" s="74"/>
      <c r="E34" s="74"/>
      <c r="F34" s="74"/>
      <c r="G34" s="74"/>
      <c r="H34" s="74"/>
      <c r="I34" s="74"/>
      <c r="J34" s="74"/>
      <c r="K34" s="74"/>
      <c r="L34" s="74"/>
    </row>
    <row r="35" spans="2:12" x14ac:dyDescent="0.25">
      <c r="B35" s="74"/>
      <c r="C35" s="74"/>
      <c r="D35" s="74"/>
      <c r="E35" s="74"/>
      <c r="F35" s="74"/>
      <c r="G35" s="74"/>
      <c r="H35" s="74"/>
      <c r="I35" s="74"/>
      <c r="J35" s="74"/>
      <c r="K35" s="74"/>
      <c r="L35" s="74"/>
    </row>
    <row r="36" spans="2:12" x14ac:dyDescent="0.25">
      <c r="B36" s="74"/>
      <c r="C36" s="74"/>
      <c r="D36" s="74"/>
      <c r="E36" s="74"/>
      <c r="F36" s="74"/>
      <c r="G36" s="74"/>
      <c r="H36" s="74"/>
      <c r="I36" s="74"/>
      <c r="J36" s="74"/>
      <c r="K36" s="74"/>
      <c r="L36" s="74"/>
    </row>
    <row r="37" spans="2:12" s="214" customFormat="1" x14ac:dyDescent="0.25">
      <c r="B37" s="215"/>
      <c r="C37" s="216"/>
      <c r="D37" s="215"/>
      <c r="E37" s="215"/>
      <c r="F37" s="216"/>
      <c r="G37" s="215"/>
      <c r="H37" s="216"/>
      <c r="I37" s="215"/>
      <c r="J37" s="216"/>
      <c r="K37" s="216"/>
      <c r="L37" s="216"/>
    </row>
    <row r="38" spans="2:12" x14ac:dyDescent="0.25">
      <c r="B38" s="74"/>
      <c r="C38" s="74"/>
      <c r="D38" s="74"/>
      <c r="E38" s="74"/>
      <c r="F38" s="74"/>
      <c r="G38" s="74"/>
      <c r="H38" s="74"/>
      <c r="I38" s="74"/>
      <c r="J38" s="74"/>
      <c r="K38" s="74"/>
      <c r="L38" s="74"/>
    </row>
    <row r="39" spans="2:12" x14ac:dyDescent="0.25">
      <c r="B39" s="74"/>
      <c r="C39" s="74"/>
      <c r="D39" s="74"/>
      <c r="E39" s="74"/>
      <c r="F39" s="74"/>
      <c r="G39" s="74"/>
      <c r="H39" s="74"/>
      <c r="I39" s="74"/>
      <c r="J39" s="74"/>
      <c r="K39" s="74"/>
      <c r="L39" s="74"/>
    </row>
    <row r="40" spans="2:12" x14ac:dyDescent="0.25">
      <c r="B40" s="74"/>
      <c r="C40" s="74"/>
      <c r="D40" s="74"/>
      <c r="E40" s="74"/>
      <c r="F40" s="74"/>
      <c r="G40" s="74"/>
      <c r="H40" s="74"/>
      <c r="I40" s="74"/>
      <c r="J40" s="74"/>
      <c r="K40" s="74"/>
      <c r="L40" s="74"/>
    </row>
    <row r="41" spans="2:12" x14ac:dyDescent="0.25">
      <c r="B41" s="74"/>
      <c r="C41" s="74"/>
      <c r="D41" s="74"/>
      <c r="E41" s="74"/>
      <c r="F41" s="74"/>
      <c r="G41" s="74"/>
      <c r="H41" s="74"/>
      <c r="I41" s="74"/>
      <c r="J41" s="74"/>
      <c r="K41" s="74"/>
      <c r="L41" s="74"/>
    </row>
    <row r="42" spans="2:12" x14ac:dyDescent="0.25">
      <c r="B42" s="74"/>
      <c r="C42" s="74"/>
      <c r="D42" s="74"/>
      <c r="E42" s="74"/>
      <c r="F42" s="74"/>
      <c r="G42" s="74"/>
      <c r="H42" s="74"/>
      <c r="I42" s="74"/>
      <c r="J42" s="74"/>
      <c r="K42" s="74"/>
      <c r="L42" s="74"/>
    </row>
    <row r="43" spans="2:12" x14ac:dyDescent="0.25">
      <c r="B43" s="74"/>
      <c r="C43" s="74"/>
      <c r="D43" s="74"/>
      <c r="E43" s="74"/>
      <c r="F43" s="74"/>
      <c r="G43" s="74"/>
      <c r="H43" s="74"/>
      <c r="I43" s="74"/>
      <c r="J43" s="74"/>
      <c r="K43" s="74"/>
      <c r="L43" s="74"/>
    </row>
    <row r="44" spans="2:12" x14ac:dyDescent="0.25">
      <c r="B44" s="74"/>
      <c r="C44" s="74"/>
      <c r="D44" s="74"/>
      <c r="E44" s="74"/>
      <c r="F44" s="74"/>
      <c r="G44" s="74"/>
      <c r="H44" s="74"/>
      <c r="I44" s="74"/>
      <c r="J44" s="74"/>
      <c r="K44" s="74"/>
      <c r="L44" s="74"/>
    </row>
    <row r="45" spans="2:12" x14ac:dyDescent="0.25">
      <c r="B45" s="74"/>
      <c r="C45" s="74"/>
      <c r="D45" s="74"/>
      <c r="E45" s="74"/>
      <c r="F45" s="74"/>
      <c r="G45" s="74"/>
      <c r="H45" s="74"/>
      <c r="I45" s="74"/>
      <c r="J45" s="74"/>
      <c r="K45" s="74"/>
      <c r="L45" s="74"/>
    </row>
    <row r="46" spans="2:12" x14ac:dyDescent="0.25">
      <c r="B46" s="74"/>
      <c r="C46" s="74"/>
      <c r="D46" s="74"/>
      <c r="E46" s="74"/>
      <c r="F46" s="74"/>
      <c r="G46" s="74"/>
      <c r="H46" s="74"/>
      <c r="I46" s="74"/>
      <c r="J46" s="74"/>
      <c r="K46" s="74"/>
      <c r="L46" s="74"/>
    </row>
    <row r="47" spans="2:12" x14ac:dyDescent="0.25">
      <c r="B47" s="74"/>
      <c r="C47" s="74"/>
      <c r="D47" s="74"/>
      <c r="E47" s="74"/>
      <c r="F47" s="74"/>
      <c r="G47" s="74"/>
      <c r="H47" s="74"/>
      <c r="I47" s="74"/>
      <c r="J47" s="74"/>
      <c r="K47" s="74"/>
      <c r="L47" s="74"/>
    </row>
    <row r="48" spans="2:12" x14ac:dyDescent="0.25">
      <c r="B48" s="74"/>
      <c r="C48" s="74"/>
      <c r="D48" s="74"/>
      <c r="E48" s="74"/>
      <c r="F48" s="74"/>
      <c r="G48" s="74"/>
      <c r="H48" s="74"/>
      <c r="I48" s="74"/>
      <c r="J48" s="74"/>
      <c r="K48" s="74"/>
      <c r="L48" s="74"/>
    </row>
    <row r="49" spans="2:12" x14ac:dyDescent="0.25">
      <c r="B49" s="74"/>
      <c r="C49" s="74"/>
      <c r="D49" s="74"/>
      <c r="E49" s="74"/>
      <c r="F49" s="74"/>
      <c r="G49" s="74"/>
      <c r="H49" s="74"/>
      <c r="I49" s="74"/>
      <c r="J49" s="74"/>
      <c r="K49" s="74"/>
      <c r="L49" s="74"/>
    </row>
    <row r="50" spans="2:12" x14ac:dyDescent="0.25">
      <c r="B50" s="74"/>
      <c r="C50" s="74"/>
      <c r="D50" s="74"/>
      <c r="E50" s="74"/>
      <c r="F50" s="74"/>
      <c r="G50" s="74"/>
      <c r="H50" s="74"/>
      <c r="I50" s="74"/>
      <c r="J50" s="74"/>
      <c r="K50" s="74"/>
      <c r="L50" s="74"/>
    </row>
    <row r="51" spans="2:12" x14ac:dyDescent="0.25">
      <c r="B51" s="74"/>
      <c r="C51" s="74"/>
      <c r="D51" s="74"/>
      <c r="E51" s="74"/>
      <c r="F51" s="74"/>
      <c r="G51" s="74"/>
      <c r="H51" s="74"/>
      <c r="I51" s="74"/>
      <c r="J51" s="74"/>
      <c r="K51" s="74"/>
      <c r="L51" s="74"/>
    </row>
    <row r="52" spans="2:12" x14ac:dyDescent="0.25">
      <c r="B52" s="74"/>
      <c r="C52" s="74"/>
      <c r="D52" s="74"/>
      <c r="E52" s="74"/>
      <c r="F52" s="74"/>
      <c r="G52" s="74"/>
      <c r="H52" s="74"/>
      <c r="I52" s="74"/>
      <c r="J52" s="74"/>
      <c r="K52" s="74"/>
      <c r="L52" s="74"/>
    </row>
    <row r="53" spans="2:12" x14ac:dyDescent="0.25">
      <c r="B53" s="74"/>
      <c r="C53" s="74"/>
      <c r="D53" s="74"/>
      <c r="E53" s="74"/>
      <c r="F53" s="74"/>
      <c r="G53" s="74"/>
      <c r="H53" s="74"/>
      <c r="I53" s="74"/>
      <c r="J53" s="74"/>
      <c r="K53" s="74"/>
      <c r="L53" s="74"/>
    </row>
    <row r="54" spans="2:12" x14ac:dyDescent="0.25">
      <c r="B54" s="74"/>
      <c r="C54" s="74"/>
      <c r="D54" s="74"/>
      <c r="E54" s="74"/>
      <c r="F54" s="74"/>
      <c r="G54" s="74"/>
      <c r="H54" s="74"/>
      <c r="I54" s="74"/>
      <c r="J54" s="74"/>
      <c r="K54" s="74"/>
      <c r="L54" s="74"/>
    </row>
    <row r="55" spans="2:12" x14ac:dyDescent="0.25">
      <c r="B55" s="74"/>
      <c r="C55" s="74"/>
      <c r="D55" s="74"/>
      <c r="E55" s="74"/>
      <c r="F55" s="74"/>
      <c r="G55" s="74"/>
      <c r="H55" s="74"/>
      <c r="I55" s="74"/>
      <c r="J55" s="74"/>
      <c r="K55" s="74"/>
      <c r="L55" s="74"/>
    </row>
    <row r="56" spans="2:12" x14ac:dyDescent="0.25">
      <c r="B56" s="74"/>
      <c r="C56" s="74"/>
      <c r="D56" s="74"/>
      <c r="E56" s="74"/>
      <c r="F56" s="74"/>
      <c r="G56" s="74"/>
      <c r="H56" s="74"/>
      <c r="I56" s="74"/>
      <c r="J56" s="74"/>
      <c r="K56" s="74"/>
      <c r="L56" s="74"/>
    </row>
    <row r="57" spans="2:12" x14ac:dyDescent="0.25">
      <c r="B57" s="74"/>
      <c r="C57" s="74"/>
      <c r="D57" s="74"/>
      <c r="E57" s="74"/>
      <c r="F57" s="74"/>
      <c r="G57" s="74"/>
      <c r="H57" s="74"/>
      <c r="I57" s="74"/>
      <c r="J57" s="74"/>
      <c r="K57" s="74"/>
      <c r="L57" s="74"/>
    </row>
    <row r="58" spans="2:12" x14ac:dyDescent="0.25">
      <c r="K58" s="74"/>
      <c r="L58" s="74"/>
    </row>
    <row r="59" spans="2:12" x14ac:dyDescent="0.25">
      <c r="B59" s="74"/>
      <c r="C59" s="74"/>
      <c r="D59" s="74"/>
      <c r="E59" s="74"/>
      <c r="F59" s="74"/>
      <c r="G59" s="74"/>
      <c r="H59" s="74"/>
      <c r="I59" s="74"/>
      <c r="J59" s="74"/>
      <c r="K59" s="74"/>
      <c r="L59" s="74"/>
    </row>
    <row r="60" spans="2:12" x14ac:dyDescent="0.25">
      <c r="B60" s="74"/>
      <c r="C60" s="74"/>
      <c r="D60" s="74"/>
      <c r="E60" s="74"/>
      <c r="F60" s="74"/>
      <c r="G60" s="74"/>
      <c r="H60" s="74"/>
      <c r="I60" s="74"/>
      <c r="J60" s="74"/>
      <c r="K60" s="74"/>
      <c r="L60" s="74"/>
    </row>
    <row r="62" spans="2:12" x14ac:dyDescent="0.25">
      <c r="B62" s="74"/>
      <c r="C62" s="74"/>
      <c r="D62" s="74"/>
      <c r="E62" s="74"/>
      <c r="F62" s="74"/>
      <c r="G62" s="74"/>
      <c r="H62" s="74"/>
      <c r="I62" s="74"/>
      <c r="J62" s="74"/>
      <c r="K62" s="74"/>
      <c r="L62" s="74"/>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5"/>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5"/>
  <cols>
    <col min="1" max="1" width="40.28515625" bestFit="1" customWidth="1"/>
    <col min="2" max="11" width="14.7109375" style="3" customWidth="1"/>
    <col min="12" max="12" width="14.7109375" style="3" hidden="1" customWidth="1"/>
    <col min="13" max="16384" width="11.42578125" hidden="1"/>
  </cols>
  <sheetData>
    <row r="1" spans="1:12" x14ac:dyDescent="0.25">
      <c r="A1" s="75"/>
      <c r="B1" s="76"/>
      <c r="C1" s="76"/>
      <c r="D1" s="76"/>
      <c r="E1" s="76"/>
      <c r="F1" s="76"/>
      <c r="G1" s="76"/>
      <c r="H1" s="76"/>
      <c r="I1" s="76"/>
      <c r="J1" s="76"/>
      <c r="K1" s="76"/>
      <c r="L1" s="76"/>
    </row>
    <row r="2" spans="1:12" x14ac:dyDescent="0.25">
      <c r="A2" s="75"/>
      <c r="B2" s="77"/>
      <c r="C2" s="77"/>
      <c r="D2" s="77"/>
      <c r="E2" s="77"/>
      <c r="F2" s="77"/>
      <c r="G2" s="77"/>
      <c r="H2" s="77"/>
      <c r="I2" s="77"/>
      <c r="J2" s="77"/>
      <c r="K2" s="77"/>
      <c r="L2" s="77"/>
    </row>
    <row r="4" spans="1:12" x14ac:dyDescent="0.25">
      <c r="B4" s="74"/>
      <c r="C4" s="74"/>
      <c r="D4" s="74"/>
      <c r="E4" s="74"/>
      <c r="F4" s="74"/>
      <c r="G4" s="74"/>
      <c r="H4" s="74"/>
      <c r="I4" s="74"/>
      <c r="J4" s="74"/>
      <c r="K4" s="74"/>
      <c r="L4" s="74"/>
    </row>
    <row r="5" spans="1:12" x14ac:dyDescent="0.25">
      <c r="B5" s="74"/>
      <c r="C5" s="74"/>
      <c r="D5" s="74"/>
      <c r="E5" s="74"/>
      <c r="F5" s="74"/>
      <c r="G5" s="74"/>
      <c r="H5" s="74"/>
      <c r="I5" s="74"/>
      <c r="J5" s="74"/>
      <c r="K5" s="74"/>
      <c r="L5" s="74"/>
    </row>
    <row r="6" spans="1:12" x14ac:dyDescent="0.25">
      <c r="B6" s="74"/>
      <c r="C6" s="74"/>
      <c r="D6" s="74"/>
      <c r="E6" s="74"/>
      <c r="F6" s="74"/>
      <c r="G6" s="74"/>
      <c r="H6" s="74"/>
      <c r="I6" s="74"/>
      <c r="J6" s="74"/>
      <c r="K6" s="74"/>
      <c r="L6" s="74"/>
    </row>
    <row r="7" spans="1:12" x14ac:dyDescent="0.25">
      <c r="B7" s="74"/>
      <c r="C7" s="74"/>
      <c r="D7" s="74"/>
      <c r="E7" s="74"/>
      <c r="F7" s="74"/>
      <c r="G7" s="74"/>
      <c r="H7" s="74"/>
      <c r="I7" s="74"/>
      <c r="J7" s="74"/>
      <c r="K7" s="74"/>
      <c r="L7" s="74"/>
    </row>
    <row r="8" spans="1:12" x14ac:dyDescent="0.25">
      <c r="B8" s="74"/>
      <c r="C8" s="74"/>
      <c r="D8" s="74"/>
      <c r="E8" s="74"/>
      <c r="F8" s="74"/>
      <c r="G8" s="74"/>
      <c r="H8" s="74"/>
      <c r="I8" s="74"/>
      <c r="J8" s="74"/>
      <c r="K8" s="74"/>
      <c r="L8" s="74"/>
    </row>
    <row r="9" spans="1:12" x14ac:dyDescent="0.25">
      <c r="B9" s="74"/>
      <c r="C9" s="74"/>
      <c r="D9" s="74"/>
      <c r="E9" s="74"/>
      <c r="F9" s="74"/>
      <c r="G9" s="74"/>
      <c r="H9" s="74"/>
      <c r="I9" s="74"/>
      <c r="J9" s="74"/>
      <c r="K9" s="74"/>
      <c r="L9" s="74"/>
    </row>
    <row r="10" spans="1:12" x14ac:dyDescent="0.25">
      <c r="B10" s="74"/>
      <c r="C10" s="74"/>
      <c r="D10" s="74"/>
      <c r="E10" s="74"/>
      <c r="F10" s="74"/>
      <c r="G10" s="74"/>
      <c r="H10" s="74"/>
      <c r="I10" s="74"/>
      <c r="J10" s="74"/>
      <c r="K10" s="74"/>
      <c r="L10" s="74"/>
    </row>
    <row r="11" spans="1:12" x14ac:dyDescent="0.25">
      <c r="B11" s="74"/>
      <c r="C11" s="74"/>
      <c r="D11" s="74"/>
      <c r="E11" s="74"/>
      <c r="F11" s="74"/>
      <c r="G11" s="74"/>
      <c r="H11" s="74"/>
      <c r="I11" s="74"/>
      <c r="J11" s="74"/>
      <c r="K11" s="74"/>
      <c r="L11" s="74"/>
    </row>
    <row r="12" spans="1:12" x14ac:dyDescent="0.25">
      <c r="B12" s="74"/>
      <c r="C12" s="74"/>
      <c r="D12" s="74"/>
      <c r="E12" s="74"/>
      <c r="F12" s="74"/>
      <c r="G12" s="74"/>
      <c r="H12" s="74"/>
      <c r="I12" s="74"/>
      <c r="J12" s="74"/>
      <c r="K12" s="74"/>
      <c r="L12" s="74"/>
    </row>
    <row r="13" spans="1:12" x14ac:dyDescent="0.25">
      <c r="B13" s="74"/>
      <c r="C13" s="74"/>
      <c r="D13" s="74"/>
      <c r="E13" s="74"/>
      <c r="F13" s="74"/>
      <c r="G13" s="74"/>
      <c r="H13" s="74"/>
      <c r="I13" s="74"/>
      <c r="J13" s="74"/>
      <c r="K13" s="74"/>
      <c r="L13" s="74"/>
    </row>
    <row r="14" spans="1:12" x14ac:dyDescent="0.25">
      <c r="B14" s="74"/>
      <c r="C14" s="74"/>
      <c r="D14" s="74"/>
      <c r="E14" s="74"/>
      <c r="F14" s="74"/>
      <c r="G14" s="74"/>
      <c r="H14" s="74"/>
      <c r="I14" s="74"/>
      <c r="J14" s="74"/>
      <c r="K14" s="74"/>
      <c r="L14" s="74"/>
    </row>
    <row r="15" spans="1:12" x14ac:dyDescent="0.25">
      <c r="B15" s="74"/>
      <c r="C15" s="74"/>
      <c r="D15" s="74"/>
      <c r="E15" s="74"/>
      <c r="F15" s="74"/>
      <c r="G15" s="74"/>
      <c r="H15" s="74"/>
      <c r="I15" s="74"/>
      <c r="J15" s="74"/>
      <c r="K15" s="74"/>
      <c r="L15" s="74"/>
    </row>
    <row r="16" spans="1:12" x14ac:dyDescent="0.25">
      <c r="B16" s="74"/>
      <c r="C16" s="74"/>
      <c r="D16" s="74"/>
      <c r="E16" s="74"/>
      <c r="F16" s="74"/>
      <c r="G16" s="74"/>
      <c r="H16" s="74"/>
      <c r="I16" s="74"/>
      <c r="J16" s="74"/>
      <c r="K16" s="74"/>
      <c r="L16" s="74"/>
    </row>
    <row r="17" spans="2:12" x14ac:dyDescent="0.25">
      <c r="B17" s="74"/>
      <c r="C17" s="74"/>
      <c r="D17" s="74"/>
      <c r="E17" s="74"/>
      <c r="F17" s="74"/>
      <c r="G17" s="74"/>
      <c r="H17" s="74"/>
      <c r="I17" s="74"/>
      <c r="J17" s="74"/>
      <c r="K17" s="74"/>
      <c r="L17" s="74"/>
    </row>
    <row r="18" spans="2:12" x14ac:dyDescent="0.25">
      <c r="B18" s="74"/>
      <c r="C18" s="74"/>
      <c r="D18" s="74"/>
      <c r="E18" s="74"/>
      <c r="F18" s="74"/>
      <c r="G18" s="74"/>
      <c r="H18" s="74"/>
      <c r="I18" s="74"/>
      <c r="J18" s="74"/>
      <c r="K18" s="74"/>
      <c r="L18" s="74"/>
    </row>
    <row r="19" spans="2:12" x14ac:dyDescent="0.25">
      <c r="B19" s="74"/>
      <c r="C19" s="74"/>
      <c r="D19" s="74"/>
      <c r="E19" s="74"/>
      <c r="F19" s="74"/>
      <c r="G19" s="74"/>
      <c r="H19" s="74"/>
      <c r="I19" s="74"/>
      <c r="J19" s="74"/>
      <c r="K19" s="74"/>
      <c r="L19" s="74"/>
    </row>
    <row r="20" spans="2:12" x14ac:dyDescent="0.25">
      <c r="B20" s="74"/>
      <c r="C20" s="74"/>
      <c r="D20" s="74"/>
      <c r="E20" s="74"/>
      <c r="F20" s="74"/>
      <c r="G20" s="74"/>
      <c r="H20" s="74"/>
      <c r="I20" s="74"/>
      <c r="J20" s="74"/>
      <c r="K20" s="74"/>
      <c r="L20" s="74"/>
    </row>
    <row r="21" spans="2:12" x14ac:dyDescent="0.25">
      <c r="B21" s="74"/>
      <c r="C21" s="74"/>
      <c r="D21" s="74"/>
      <c r="E21" s="74"/>
      <c r="F21" s="74"/>
      <c r="G21" s="74"/>
      <c r="H21" s="74"/>
      <c r="I21" s="74"/>
      <c r="J21" s="74"/>
      <c r="K21" s="74"/>
      <c r="L21" s="74"/>
    </row>
    <row r="22" spans="2:12" x14ac:dyDescent="0.25">
      <c r="B22" s="74"/>
      <c r="C22" s="74"/>
      <c r="D22" s="74"/>
      <c r="E22" s="74"/>
      <c r="F22" s="74"/>
      <c r="G22" s="74"/>
      <c r="H22" s="74"/>
      <c r="I22" s="74"/>
      <c r="J22" s="74"/>
      <c r="K22" s="74"/>
      <c r="L22" s="74"/>
    </row>
    <row r="23" spans="2:12" x14ac:dyDescent="0.25">
      <c r="B23" s="74"/>
      <c r="C23" s="74"/>
      <c r="D23" s="74"/>
      <c r="E23" s="74"/>
      <c r="F23" s="74"/>
      <c r="G23" s="74"/>
      <c r="H23" s="74"/>
      <c r="I23" s="74"/>
      <c r="J23" s="74"/>
      <c r="K23" s="74"/>
      <c r="L23" s="74"/>
    </row>
    <row r="24" spans="2:12" x14ac:dyDescent="0.25">
      <c r="B24" s="74"/>
      <c r="C24" s="74"/>
      <c r="D24" s="74"/>
      <c r="E24" s="74"/>
      <c r="F24" s="74"/>
      <c r="G24" s="74"/>
      <c r="H24" s="74"/>
      <c r="I24" s="74"/>
      <c r="J24" s="74"/>
      <c r="K24" s="74"/>
      <c r="L24" s="74"/>
    </row>
    <row r="25" spans="2:12" x14ac:dyDescent="0.25">
      <c r="B25" s="74"/>
      <c r="C25" s="74"/>
      <c r="D25" s="74"/>
      <c r="E25" s="74"/>
      <c r="F25" s="74"/>
      <c r="G25" s="74"/>
      <c r="H25" s="74"/>
      <c r="I25" s="74"/>
      <c r="J25" s="74"/>
      <c r="K25" s="74"/>
      <c r="L25" s="74"/>
    </row>
    <row r="26" spans="2:12" x14ac:dyDescent="0.25">
      <c r="B26" s="74"/>
      <c r="C26" s="74"/>
      <c r="D26" s="74"/>
      <c r="E26" s="74"/>
      <c r="F26" s="74"/>
      <c r="G26" s="74"/>
      <c r="H26" s="74"/>
      <c r="I26" s="74"/>
      <c r="J26" s="74"/>
      <c r="K26" s="74"/>
      <c r="L26" s="74"/>
    </row>
    <row r="27" spans="2:12" x14ac:dyDescent="0.25">
      <c r="B27" s="74"/>
      <c r="C27" s="74"/>
      <c r="D27" s="74"/>
      <c r="E27" s="74"/>
      <c r="F27" s="74"/>
      <c r="G27" s="74"/>
      <c r="H27" s="74"/>
      <c r="I27" s="74"/>
      <c r="J27" s="74"/>
      <c r="K27" s="74"/>
      <c r="L27" s="74"/>
    </row>
    <row r="28" spans="2:12" x14ac:dyDescent="0.25">
      <c r="C28" s="74"/>
      <c r="D28" s="74"/>
      <c r="E28" s="74"/>
      <c r="F28" s="74"/>
      <c r="G28" s="74"/>
      <c r="H28" s="74"/>
      <c r="I28" s="74"/>
      <c r="J28" s="74"/>
      <c r="K28" s="74"/>
      <c r="L28" s="74"/>
    </row>
    <row r="29" spans="2:12" x14ac:dyDescent="0.25">
      <c r="B29" s="74"/>
      <c r="C29" s="74"/>
      <c r="D29" s="74"/>
      <c r="E29" s="74"/>
      <c r="F29" s="74"/>
      <c r="G29" s="74"/>
      <c r="H29" s="74"/>
      <c r="I29" s="74"/>
      <c r="J29" s="74"/>
      <c r="K29" s="74"/>
      <c r="L29" s="74"/>
    </row>
    <row r="30" spans="2:12" x14ac:dyDescent="0.25">
      <c r="B30" s="74"/>
      <c r="C30" s="74"/>
      <c r="D30" s="74"/>
      <c r="E30" s="74"/>
      <c r="F30" s="74"/>
      <c r="G30" s="74"/>
      <c r="H30" s="74"/>
      <c r="I30" s="74"/>
      <c r="J30" s="74"/>
      <c r="K30" s="74"/>
      <c r="L30" s="74"/>
    </row>
    <row r="31" spans="2:12" x14ac:dyDescent="0.25">
      <c r="B31" s="74"/>
      <c r="C31" s="74"/>
      <c r="D31" s="74"/>
      <c r="E31" s="74"/>
      <c r="F31" s="74"/>
      <c r="G31" s="74"/>
      <c r="H31" s="74"/>
      <c r="I31" s="74"/>
      <c r="J31" s="74"/>
      <c r="K31" s="74"/>
      <c r="L31" s="74"/>
    </row>
    <row r="32" spans="2:12" x14ac:dyDescent="0.25">
      <c r="B32" s="74"/>
      <c r="C32" s="74"/>
      <c r="D32" s="74"/>
      <c r="E32" s="74"/>
      <c r="F32" s="74"/>
      <c r="G32" s="74"/>
      <c r="H32" s="74"/>
      <c r="I32" s="74"/>
      <c r="J32" s="74"/>
      <c r="K32" s="74"/>
      <c r="L32" s="74"/>
    </row>
    <row r="33" spans="2:12" x14ac:dyDescent="0.25">
      <c r="B33" s="74"/>
      <c r="C33" s="74"/>
      <c r="D33" s="74"/>
      <c r="E33" s="74"/>
      <c r="F33" s="74"/>
      <c r="G33" s="74"/>
      <c r="H33" s="74"/>
      <c r="I33" s="74"/>
      <c r="J33" s="74"/>
      <c r="K33" s="74"/>
      <c r="L33" s="74"/>
    </row>
    <row r="34" spans="2:12" x14ac:dyDescent="0.25">
      <c r="B34" s="74"/>
      <c r="C34" s="74"/>
      <c r="D34" s="74"/>
      <c r="E34" s="74"/>
      <c r="F34" s="74"/>
      <c r="G34" s="74"/>
      <c r="H34" s="74"/>
      <c r="I34" s="74"/>
      <c r="J34" s="74"/>
      <c r="K34" s="74"/>
      <c r="L34" s="74"/>
    </row>
    <row r="35" spans="2:12" x14ac:dyDescent="0.25">
      <c r="B35" s="74"/>
      <c r="C35" s="74"/>
      <c r="D35" s="74"/>
      <c r="E35" s="74"/>
      <c r="F35" s="74"/>
      <c r="G35" s="74"/>
      <c r="H35" s="74"/>
      <c r="I35" s="74"/>
      <c r="J35" s="74"/>
      <c r="K35" s="74"/>
      <c r="L35" s="74"/>
    </row>
    <row r="36" spans="2:12" x14ac:dyDescent="0.25">
      <c r="B36" s="74"/>
      <c r="C36" s="74"/>
      <c r="D36" s="74"/>
      <c r="E36" s="74"/>
      <c r="F36" s="74"/>
      <c r="G36" s="74"/>
      <c r="H36" s="74"/>
      <c r="I36" s="74"/>
      <c r="J36" s="74"/>
      <c r="K36" s="74"/>
      <c r="L36" s="74"/>
    </row>
    <row r="37" spans="2:12" x14ac:dyDescent="0.25">
      <c r="B37" s="74"/>
      <c r="C37" s="74"/>
      <c r="D37" s="74"/>
      <c r="E37" s="74"/>
      <c r="F37" s="74"/>
      <c r="G37" s="74"/>
      <c r="H37" s="74"/>
      <c r="I37" s="74"/>
      <c r="J37" s="74"/>
      <c r="K37" s="74"/>
      <c r="L37" s="74"/>
    </row>
    <row r="38" spans="2:12" x14ac:dyDescent="0.25">
      <c r="B38" s="74"/>
      <c r="C38" s="74"/>
      <c r="D38" s="74"/>
      <c r="E38" s="74"/>
      <c r="F38" s="74"/>
      <c r="G38" s="74"/>
      <c r="H38" s="74"/>
      <c r="I38" s="74"/>
      <c r="J38" s="74"/>
      <c r="K38" s="74"/>
      <c r="L38" s="74"/>
    </row>
    <row r="39" spans="2:12" x14ac:dyDescent="0.25">
      <c r="B39" s="74"/>
      <c r="C39" s="74"/>
      <c r="D39" s="74"/>
      <c r="E39" s="74"/>
      <c r="F39" s="74"/>
      <c r="G39" s="74"/>
      <c r="H39" s="74"/>
      <c r="I39" s="74"/>
      <c r="J39" s="74"/>
      <c r="K39" s="74"/>
      <c r="L39" s="74"/>
    </row>
    <row r="40" spans="2:12" x14ac:dyDescent="0.25">
      <c r="B40" s="74"/>
      <c r="C40" s="74"/>
      <c r="D40" s="74"/>
      <c r="E40" s="74"/>
      <c r="F40" s="74"/>
      <c r="G40" s="74"/>
      <c r="H40" s="74"/>
      <c r="I40" s="74"/>
      <c r="J40" s="74"/>
      <c r="K40" s="74"/>
      <c r="L40" s="74"/>
    </row>
    <row r="41" spans="2:12" x14ac:dyDescent="0.25">
      <c r="B41" s="74"/>
      <c r="C41" s="74"/>
      <c r="D41" s="74"/>
      <c r="E41" s="74"/>
      <c r="F41" s="74"/>
      <c r="G41" s="74"/>
      <c r="H41" s="74"/>
      <c r="I41" s="74"/>
      <c r="J41" s="74"/>
      <c r="K41" s="74"/>
      <c r="L41" s="74"/>
    </row>
    <row r="42" spans="2:12" x14ac:dyDescent="0.25">
      <c r="B42" s="74"/>
      <c r="C42" s="74"/>
      <c r="D42" s="74"/>
      <c r="E42" s="74"/>
      <c r="F42" s="74"/>
      <c r="G42" s="74"/>
      <c r="H42" s="74"/>
      <c r="I42" s="74"/>
      <c r="J42" s="74"/>
      <c r="K42" s="74"/>
      <c r="L42" s="74"/>
    </row>
    <row r="43" spans="2:12" x14ac:dyDescent="0.25">
      <c r="B43" s="74"/>
      <c r="C43" s="74"/>
      <c r="D43" s="74"/>
      <c r="E43" s="74"/>
      <c r="F43" s="74"/>
      <c r="G43" s="74"/>
      <c r="H43" s="74"/>
      <c r="I43" s="74"/>
      <c r="J43" s="74"/>
      <c r="K43" s="74"/>
      <c r="L43" s="74"/>
    </row>
    <row r="44" spans="2:12" x14ac:dyDescent="0.25">
      <c r="B44" s="74"/>
      <c r="C44" s="74"/>
      <c r="D44" s="74"/>
      <c r="E44" s="74"/>
      <c r="F44" s="74"/>
      <c r="G44" s="74"/>
      <c r="H44" s="74"/>
      <c r="I44" s="74"/>
      <c r="J44" s="74"/>
      <c r="K44" s="74"/>
      <c r="L44" s="74"/>
    </row>
    <row r="45" spans="2:12" x14ac:dyDescent="0.25">
      <c r="B45" s="74"/>
      <c r="C45" s="74"/>
      <c r="D45" s="74"/>
      <c r="E45" s="74"/>
      <c r="F45" s="74"/>
      <c r="G45" s="74"/>
      <c r="H45" s="74"/>
      <c r="I45" s="74"/>
      <c r="J45" s="74"/>
      <c r="K45" s="74"/>
      <c r="L45" s="74"/>
    </row>
    <row r="46" spans="2:12" x14ac:dyDescent="0.25">
      <c r="B46" s="74"/>
      <c r="C46" s="74"/>
      <c r="D46" s="74"/>
      <c r="E46" s="74"/>
      <c r="F46" s="74"/>
      <c r="G46" s="74"/>
      <c r="H46" s="74"/>
      <c r="I46" s="74"/>
      <c r="J46" s="74"/>
      <c r="K46" s="74"/>
      <c r="L46" s="74"/>
    </row>
    <row r="47" spans="2:12" x14ac:dyDescent="0.25">
      <c r="B47" s="74"/>
      <c r="C47" s="74"/>
      <c r="D47" s="74"/>
      <c r="E47" s="74"/>
      <c r="F47" s="74"/>
      <c r="G47" s="74"/>
      <c r="H47" s="74"/>
      <c r="I47" s="74"/>
      <c r="J47" s="74"/>
      <c r="K47" s="74"/>
      <c r="L47" s="74"/>
    </row>
    <row r="48" spans="2:12" x14ac:dyDescent="0.25">
      <c r="B48" s="74"/>
      <c r="C48" s="74"/>
      <c r="D48" s="74"/>
      <c r="E48" s="74"/>
      <c r="F48" s="74"/>
      <c r="G48" s="74"/>
      <c r="H48" s="74"/>
      <c r="I48" s="74"/>
      <c r="J48" s="74"/>
      <c r="K48" s="74"/>
      <c r="L48" s="74"/>
    </row>
    <row r="49" spans="2:12" x14ac:dyDescent="0.25">
      <c r="B49" s="74"/>
      <c r="C49" s="74"/>
      <c r="D49" s="74"/>
      <c r="E49" s="74"/>
      <c r="F49" s="74"/>
      <c r="G49" s="74"/>
      <c r="H49" s="74"/>
      <c r="I49" s="74"/>
      <c r="J49" s="74"/>
      <c r="K49" s="74"/>
      <c r="L49" s="74"/>
    </row>
    <row r="50" spans="2:12" x14ac:dyDescent="0.25">
      <c r="B50" s="74"/>
      <c r="C50" s="74"/>
      <c r="D50" s="74"/>
      <c r="E50" s="74"/>
      <c r="F50" s="74"/>
      <c r="G50" s="74"/>
      <c r="H50" s="74"/>
      <c r="I50" s="74"/>
      <c r="J50" s="74"/>
      <c r="K50" s="74"/>
      <c r="L50" s="74"/>
    </row>
    <row r="51" spans="2:12" x14ac:dyDescent="0.25">
      <c r="B51" s="74"/>
      <c r="C51" s="74"/>
      <c r="D51" s="74"/>
      <c r="E51" s="74"/>
      <c r="F51" s="74"/>
      <c r="G51" s="74"/>
      <c r="H51" s="74"/>
      <c r="I51" s="74"/>
      <c r="J51" s="74"/>
      <c r="K51" s="74"/>
      <c r="L51" s="74"/>
    </row>
    <row r="52" spans="2:12" x14ac:dyDescent="0.25">
      <c r="B52" s="74"/>
      <c r="C52" s="74"/>
      <c r="D52" s="74"/>
      <c r="E52" s="74"/>
      <c r="F52" s="74"/>
      <c r="G52" s="74"/>
      <c r="H52" s="74"/>
      <c r="I52" s="74"/>
      <c r="J52" s="74"/>
      <c r="K52" s="74"/>
      <c r="L52" s="74"/>
    </row>
    <row r="53" spans="2:12" x14ac:dyDescent="0.25">
      <c r="B53" s="74"/>
      <c r="C53" s="74"/>
      <c r="D53" s="74"/>
      <c r="E53" s="74"/>
      <c r="F53" s="74"/>
      <c r="G53" s="74"/>
      <c r="H53" s="74"/>
      <c r="I53" s="74"/>
      <c r="J53" s="74"/>
      <c r="K53" s="74"/>
      <c r="L53" s="74"/>
    </row>
    <row r="54" spans="2:12" x14ac:dyDescent="0.25">
      <c r="B54" s="74"/>
      <c r="C54" s="74"/>
      <c r="D54" s="74"/>
      <c r="E54" s="74"/>
      <c r="F54" s="74"/>
      <c r="G54" s="74"/>
      <c r="H54" s="74"/>
      <c r="I54" s="74"/>
      <c r="J54" s="74"/>
      <c r="K54" s="74"/>
      <c r="L54" s="74"/>
    </row>
    <row r="55" spans="2:12" x14ac:dyDescent="0.25">
      <c r="B55" s="74"/>
      <c r="C55" s="74"/>
      <c r="D55" s="74"/>
      <c r="E55" s="74"/>
      <c r="F55" s="74"/>
      <c r="G55" s="74"/>
      <c r="H55" s="74"/>
      <c r="I55" s="74"/>
      <c r="J55" s="74"/>
      <c r="K55" s="74"/>
      <c r="L55" s="74"/>
    </row>
    <row r="56" spans="2:12" x14ac:dyDescent="0.25">
      <c r="B56" s="74"/>
      <c r="C56" s="74"/>
      <c r="D56" s="74"/>
      <c r="E56" s="74"/>
      <c r="F56" s="74"/>
      <c r="G56" s="74"/>
      <c r="H56" s="74"/>
      <c r="I56" s="74"/>
      <c r="J56" s="74"/>
      <c r="K56" s="74"/>
      <c r="L56" s="74"/>
    </row>
    <row r="57" spans="2:12" x14ac:dyDescent="0.25">
      <c r="B57" s="74"/>
      <c r="C57" s="74"/>
      <c r="D57" s="74"/>
      <c r="E57" s="74"/>
      <c r="F57" s="74"/>
      <c r="G57" s="74"/>
      <c r="H57" s="74"/>
      <c r="I57" s="74"/>
      <c r="J57" s="74"/>
      <c r="K57" s="74"/>
      <c r="L57" s="74"/>
    </row>
    <row r="58" spans="2:12" x14ac:dyDescent="0.25">
      <c r="B58" s="74"/>
      <c r="C58" s="74"/>
      <c r="D58" s="74"/>
      <c r="E58" s="74"/>
      <c r="F58" s="74"/>
      <c r="G58" s="74"/>
      <c r="H58" s="74"/>
      <c r="I58" s="74"/>
      <c r="J58" s="74"/>
      <c r="K58" s="74"/>
      <c r="L58" s="74"/>
    </row>
    <row r="59" spans="2:12" x14ac:dyDescent="0.25">
      <c r="B59" s="74"/>
      <c r="C59" s="74"/>
      <c r="D59" s="74"/>
      <c r="E59" s="74"/>
      <c r="F59" s="74"/>
      <c r="G59" s="74"/>
      <c r="H59" s="74"/>
      <c r="I59" s="74"/>
      <c r="J59" s="74"/>
      <c r="K59" s="74"/>
      <c r="L59" s="74"/>
    </row>
    <row r="60" spans="2:12" x14ac:dyDescent="0.25">
      <c r="B60" s="74"/>
      <c r="C60" s="74"/>
      <c r="D60" s="74"/>
      <c r="E60" s="74"/>
      <c r="F60" s="74"/>
      <c r="G60" s="74"/>
      <c r="H60" s="74"/>
      <c r="I60" s="74"/>
      <c r="J60" s="74"/>
      <c r="K60" s="74"/>
      <c r="L60" s="74"/>
    </row>
    <row r="61" spans="2:12" x14ac:dyDescent="0.25">
      <c r="B61" s="74"/>
      <c r="C61" s="74"/>
      <c r="D61" s="74"/>
      <c r="E61" s="74"/>
      <c r="F61" s="74"/>
      <c r="G61" s="74"/>
      <c r="H61" s="74"/>
      <c r="I61" s="74"/>
      <c r="J61" s="74"/>
      <c r="K61" s="74"/>
      <c r="L61" s="74"/>
    </row>
    <row r="62" spans="2:12" x14ac:dyDescent="0.25">
      <c r="B62" s="74"/>
      <c r="C62" s="74"/>
      <c r="D62" s="74"/>
      <c r="E62" s="74"/>
      <c r="F62" s="74"/>
      <c r="G62" s="74"/>
      <c r="H62" s="74"/>
      <c r="I62" s="74"/>
      <c r="J62" s="74"/>
      <c r="K62" s="74"/>
      <c r="L62" s="74"/>
    </row>
    <row r="63" spans="2:12" x14ac:dyDescent="0.25">
      <c r="B63" s="74"/>
      <c r="C63" s="74"/>
      <c r="D63" s="74"/>
      <c r="E63" s="74"/>
      <c r="F63" s="74"/>
      <c r="G63" s="74"/>
      <c r="H63" s="74"/>
      <c r="I63" s="74"/>
      <c r="J63" s="74"/>
      <c r="K63" s="74"/>
      <c r="L63" s="74"/>
    </row>
    <row r="64" spans="2:12" x14ac:dyDescent="0.25">
      <c r="B64" s="74"/>
      <c r="C64" s="74"/>
      <c r="D64" s="74"/>
      <c r="E64" s="74"/>
      <c r="F64" s="74"/>
      <c r="G64" s="74"/>
      <c r="H64" s="74"/>
      <c r="I64" s="74"/>
      <c r="J64" s="74"/>
      <c r="K64" s="74"/>
      <c r="L64" s="74"/>
    </row>
    <row r="65" spans="2:12" x14ac:dyDescent="0.25">
      <c r="B65" s="74"/>
      <c r="C65" s="74"/>
      <c r="D65" s="74"/>
      <c r="E65" s="74"/>
      <c r="F65" s="74"/>
      <c r="G65" s="74"/>
      <c r="H65" s="74"/>
      <c r="I65" s="74"/>
      <c r="J65" s="74"/>
      <c r="K65" s="74"/>
      <c r="L65" s="74"/>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5"/>
  <cols>
    <col min="1" max="1" width="56" bestFit="1" customWidth="1"/>
    <col min="2" max="11" width="14.7109375" style="3" customWidth="1"/>
    <col min="12" max="12" width="14.7109375" style="3" hidden="1" customWidth="1"/>
    <col min="13" max="16384" width="11.42578125" hidden="1"/>
  </cols>
  <sheetData>
    <row r="1" spans="1:12" x14ac:dyDescent="0.25">
      <c r="A1" s="79"/>
      <c r="B1" s="80"/>
      <c r="C1" s="80"/>
      <c r="D1" s="80"/>
      <c r="E1" s="80"/>
      <c r="F1" s="80"/>
      <c r="G1" s="80"/>
      <c r="H1" s="80"/>
      <c r="I1" s="80"/>
      <c r="J1" s="80"/>
      <c r="K1" s="80"/>
      <c r="L1" s="80"/>
    </row>
    <row r="2" spans="1:12" x14ac:dyDescent="0.25">
      <c r="A2" s="79"/>
      <c r="B2" s="81"/>
      <c r="C2" s="81"/>
      <c r="D2" s="81"/>
      <c r="E2" s="81"/>
      <c r="F2" s="81"/>
      <c r="G2" s="81"/>
      <c r="H2" s="81"/>
      <c r="I2" s="81"/>
      <c r="J2" s="81"/>
      <c r="K2" s="81"/>
      <c r="L2" s="81"/>
    </row>
    <row r="3" spans="1:12" x14ac:dyDescent="0.25">
      <c r="A3" s="82"/>
      <c r="B3" s="83"/>
      <c r="C3" s="83"/>
      <c r="D3" s="83"/>
      <c r="E3" s="83"/>
      <c r="F3" s="83"/>
      <c r="G3" s="83"/>
      <c r="H3" s="83"/>
      <c r="I3" s="83"/>
      <c r="J3" s="83"/>
      <c r="K3" s="83"/>
      <c r="L3" s="83"/>
    </row>
    <row r="4" spans="1:12" x14ac:dyDescent="0.25">
      <c r="A4" s="82"/>
      <c r="B4" s="84"/>
      <c r="C4" s="84"/>
      <c r="D4" s="84"/>
      <c r="E4" s="84"/>
      <c r="F4" s="84"/>
      <c r="G4" s="84"/>
      <c r="H4" s="84"/>
      <c r="I4" s="84"/>
      <c r="J4" s="84"/>
      <c r="K4" s="84"/>
      <c r="L4" s="84"/>
    </row>
    <row r="5" spans="1:12" x14ac:dyDescent="0.25">
      <c r="A5" s="82"/>
      <c r="B5" s="84"/>
      <c r="C5" s="84"/>
      <c r="D5" s="84"/>
      <c r="E5" s="84"/>
      <c r="F5" s="84"/>
      <c r="G5" s="84"/>
      <c r="H5" s="84"/>
      <c r="I5" s="84"/>
      <c r="J5" s="84"/>
      <c r="K5" s="84"/>
      <c r="L5" s="84"/>
    </row>
    <row r="6" spans="1:12" x14ac:dyDescent="0.25">
      <c r="A6" s="82"/>
      <c r="B6" s="84"/>
      <c r="C6" s="84"/>
      <c r="D6" s="84"/>
      <c r="E6" s="84"/>
      <c r="F6" s="84"/>
      <c r="G6" s="84"/>
      <c r="H6" s="84"/>
      <c r="I6" s="84"/>
      <c r="J6" s="84"/>
      <c r="K6" s="84"/>
      <c r="L6" s="84"/>
    </row>
    <row r="7" spans="1:12" x14ac:dyDescent="0.25">
      <c r="A7" s="82"/>
      <c r="B7" s="84"/>
      <c r="C7" s="84"/>
      <c r="D7" s="84"/>
      <c r="E7" s="84"/>
      <c r="F7" s="84"/>
      <c r="G7" s="84"/>
      <c r="H7" s="84"/>
      <c r="I7" s="84"/>
      <c r="J7" s="84"/>
      <c r="K7" s="84"/>
      <c r="L7" s="84"/>
    </row>
    <row r="8" spans="1:12" x14ac:dyDescent="0.25">
      <c r="A8" s="82"/>
      <c r="B8" s="84"/>
      <c r="C8" s="84"/>
      <c r="D8" s="84"/>
      <c r="E8" s="84"/>
      <c r="F8" s="84"/>
      <c r="G8" s="84"/>
      <c r="H8" s="84"/>
      <c r="I8" s="84"/>
      <c r="J8" s="84"/>
      <c r="K8" s="84"/>
      <c r="L8" s="84"/>
    </row>
    <row r="9" spans="1:12" x14ac:dyDescent="0.25">
      <c r="A9" s="82"/>
      <c r="B9" s="84"/>
      <c r="C9" s="84"/>
      <c r="D9" s="84"/>
      <c r="E9" s="84"/>
      <c r="F9" s="84"/>
      <c r="G9" s="84"/>
      <c r="H9" s="84"/>
      <c r="I9" s="84"/>
      <c r="J9" s="84"/>
      <c r="K9" s="84"/>
      <c r="L9" s="84"/>
    </row>
    <row r="10" spans="1:12" x14ac:dyDescent="0.25">
      <c r="A10" s="82"/>
      <c r="B10" s="84"/>
      <c r="C10" s="84"/>
      <c r="D10" s="84"/>
      <c r="E10" s="84"/>
      <c r="F10" s="84"/>
      <c r="G10" s="84"/>
      <c r="H10" s="84"/>
      <c r="I10" s="84"/>
      <c r="J10" s="84"/>
      <c r="K10" s="84"/>
      <c r="L10" s="84"/>
    </row>
    <row r="11" spans="1:12" x14ac:dyDescent="0.25">
      <c r="A11" s="82"/>
      <c r="B11" s="84"/>
      <c r="C11" s="84"/>
      <c r="D11" s="84"/>
      <c r="E11" s="84"/>
      <c r="F11" s="84"/>
      <c r="G11" s="84"/>
      <c r="H11" s="84"/>
      <c r="I11" s="84"/>
      <c r="J11" s="84"/>
      <c r="K11" s="84"/>
      <c r="L11" s="84"/>
    </row>
    <row r="12" spans="1:12" x14ac:dyDescent="0.25">
      <c r="A12" s="82"/>
      <c r="B12" s="84"/>
      <c r="C12" s="84"/>
      <c r="D12" s="84"/>
      <c r="E12" s="84"/>
      <c r="F12" s="84"/>
      <c r="G12" s="84"/>
      <c r="H12" s="84"/>
      <c r="I12" s="84"/>
      <c r="J12" s="84"/>
      <c r="K12" s="84"/>
      <c r="L12" s="84"/>
    </row>
    <row r="13" spans="1:12" x14ac:dyDescent="0.25">
      <c r="A13" s="82"/>
      <c r="B13" s="83"/>
      <c r="C13" s="84"/>
      <c r="D13" s="83"/>
      <c r="E13" s="83"/>
      <c r="F13" s="84"/>
      <c r="G13" s="83"/>
      <c r="H13" s="84"/>
      <c r="I13" s="84"/>
      <c r="J13" s="84"/>
      <c r="K13" s="84"/>
      <c r="L13" s="84"/>
    </row>
    <row r="14" spans="1:12" x14ac:dyDescent="0.25">
      <c r="A14" s="82"/>
      <c r="B14" s="83"/>
      <c r="C14" s="84"/>
      <c r="D14" s="83"/>
      <c r="E14" s="83"/>
      <c r="F14" s="84"/>
      <c r="G14" s="83"/>
      <c r="H14" s="84"/>
      <c r="I14" s="84"/>
      <c r="J14" s="84"/>
      <c r="K14" s="84"/>
      <c r="L14" s="84"/>
    </row>
    <row r="15" spans="1:12" x14ac:dyDescent="0.25">
      <c r="A15" s="82"/>
      <c r="B15" s="84"/>
      <c r="C15" s="84"/>
      <c r="D15" s="84"/>
      <c r="E15" s="84"/>
      <c r="F15" s="84"/>
      <c r="G15" s="84"/>
      <c r="H15" s="84"/>
      <c r="I15" s="84"/>
      <c r="J15" s="84"/>
      <c r="K15" s="84"/>
      <c r="L15" s="84"/>
    </row>
    <row r="16" spans="1:12" x14ac:dyDescent="0.25">
      <c r="A16" s="82"/>
      <c r="B16" s="84"/>
      <c r="C16" s="84"/>
      <c r="D16" s="84"/>
      <c r="E16" s="84"/>
      <c r="F16" s="84"/>
      <c r="G16" s="84"/>
      <c r="H16" s="84"/>
      <c r="I16" s="84"/>
      <c r="J16" s="84"/>
      <c r="K16" s="84"/>
      <c r="L16" s="84"/>
    </row>
    <row r="17" spans="1:12" x14ac:dyDescent="0.25">
      <c r="A17" s="82"/>
      <c r="B17" s="84"/>
      <c r="C17" s="84"/>
      <c r="D17" s="84"/>
      <c r="E17" s="84"/>
      <c r="F17" s="84"/>
      <c r="G17" s="84"/>
      <c r="H17" s="84"/>
      <c r="I17" s="84"/>
      <c r="J17" s="84"/>
      <c r="K17" s="84"/>
      <c r="L17" s="84"/>
    </row>
    <row r="18" spans="1:12" x14ac:dyDescent="0.25">
      <c r="A18" s="82"/>
      <c r="B18" s="84"/>
      <c r="C18" s="84"/>
      <c r="D18" s="84"/>
      <c r="E18" s="84"/>
      <c r="F18" s="84"/>
      <c r="G18" s="84"/>
      <c r="H18" s="84"/>
      <c r="I18" s="84"/>
      <c r="J18" s="84"/>
      <c r="K18" s="84"/>
      <c r="L18" s="84"/>
    </row>
    <row r="19" spans="1:12" x14ac:dyDescent="0.25">
      <c r="A19" s="82"/>
      <c r="B19" s="84"/>
      <c r="C19" s="84"/>
      <c r="D19" s="84"/>
      <c r="E19" s="84"/>
      <c r="F19" s="84"/>
      <c r="G19" s="84"/>
      <c r="H19" s="84"/>
      <c r="I19" s="84"/>
      <c r="J19" s="84"/>
      <c r="K19" s="84"/>
      <c r="L19" s="84"/>
    </row>
    <row r="20" spans="1:12" x14ac:dyDescent="0.25">
      <c r="A20" s="82"/>
      <c r="B20" s="84"/>
      <c r="C20" s="84"/>
      <c r="D20" s="84"/>
      <c r="E20" s="84"/>
      <c r="F20" s="84"/>
      <c r="G20" s="84"/>
      <c r="H20" s="84"/>
      <c r="I20" s="84"/>
      <c r="J20" s="84"/>
      <c r="K20" s="84"/>
      <c r="L20" s="84"/>
    </row>
    <row r="21" spans="1:12" x14ac:dyDescent="0.25">
      <c r="A21" s="82"/>
      <c r="B21" s="84"/>
      <c r="C21" s="84"/>
      <c r="D21" s="84"/>
      <c r="E21" s="84"/>
      <c r="F21" s="84"/>
      <c r="G21" s="84"/>
      <c r="H21" s="84"/>
      <c r="I21" s="84"/>
      <c r="J21" s="84"/>
      <c r="K21" s="84"/>
      <c r="L21" s="84"/>
    </row>
    <row r="22" spans="1:12" x14ac:dyDescent="0.25">
      <c r="A22" s="82"/>
      <c r="B22" s="84"/>
      <c r="C22" s="84"/>
      <c r="D22" s="84"/>
      <c r="E22" s="84"/>
      <c r="F22" s="84"/>
      <c r="G22" s="84"/>
      <c r="H22" s="84"/>
      <c r="I22" s="84"/>
      <c r="J22" s="84"/>
      <c r="K22" s="84"/>
      <c r="L22" s="84"/>
    </row>
    <row r="23" spans="1:12" x14ac:dyDescent="0.25">
      <c r="A23" s="82"/>
      <c r="B23" s="84"/>
      <c r="C23" s="84"/>
      <c r="D23" s="84"/>
      <c r="E23" s="84"/>
      <c r="F23" s="84"/>
      <c r="G23" s="84"/>
      <c r="H23" s="84"/>
      <c r="I23" s="84"/>
      <c r="J23" s="84"/>
      <c r="K23" s="84"/>
      <c r="L23" s="84"/>
    </row>
    <row r="24" spans="1:12" x14ac:dyDescent="0.25">
      <c r="A24" s="82"/>
      <c r="B24" s="84"/>
      <c r="C24" s="84"/>
      <c r="D24" s="84"/>
      <c r="E24" s="84"/>
      <c r="F24" s="84"/>
      <c r="G24" s="84"/>
      <c r="H24" s="84"/>
      <c r="I24" s="84"/>
      <c r="J24" s="84"/>
      <c r="K24" s="84"/>
      <c r="L24" s="84"/>
    </row>
    <row r="25" spans="1:12" x14ac:dyDescent="0.25">
      <c r="A25" s="82"/>
      <c r="B25" s="84"/>
      <c r="C25" s="84"/>
      <c r="D25" s="84"/>
      <c r="E25" s="84"/>
      <c r="F25" s="84"/>
      <c r="G25" s="84"/>
      <c r="H25" s="84"/>
      <c r="I25" s="84"/>
      <c r="J25" s="84"/>
      <c r="K25" s="84"/>
      <c r="L25" s="84"/>
    </row>
    <row r="26" spans="1:12" x14ac:dyDescent="0.25">
      <c r="A26" s="82"/>
      <c r="B26" s="84"/>
      <c r="C26" s="84"/>
      <c r="D26" s="84"/>
      <c r="E26" s="84"/>
      <c r="F26" s="84"/>
      <c r="G26" s="84"/>
      <c r="H26" s="84"/>
      <c r="I26" s="84"/>
      <c r="J26" s="84"/>
      <c r="K26" s="84"/>
      <c r="L26" s="84"/>
    </row>
    <row r="27" spans="1:12" x14ac:dyDescent="0.25">
      <c r="A27" s="82"/>
      <c r="B27" s="84"/>
      <c r="C27" s="84"/>
      <c r="D27" s="84"/>
      <c r="E27" s="84"/>
      <c r="F27" s="84"/>
      <c r="G27" s="84"/>
      <c r="H27" s="84"/>
      <c r="I27" s="84"/>
      <c r="J27" s="84"/>
      <c r="K27" s="84"/>
      <c r="L27" s="84"/>
    </row>
    <row r="28" spans="1:12" x14ac:dyDescent="0.25">
      <c r="A28" s="82"/>
      <c r="B28" s="84"/>
      <c r="C28" s="84"/>
      <c r="D28" s="84"/>
      <c r="E28" s="84"/>
      <c r="F28" s="84"/>
      <c r="G28" s="84"/>
      <c r="H28" s="84"/>
      <c r="I28" s="84"/>
      <c r="J28" s="84"/>
      <c r="K28" s="84"/>
      <c r="L28" s="84"/>
    </row>
    <row r="29" spans="1:12" x14ac:dyDescent="0.25">
      <c r="A29" s="82"/>
      <c r="B29" s="84"/>
      <c r="C29" s="84"/>
      <c r="D29" s="84"/>
      <c r="E29" s="84"/>
      <c r="F29" s="84"/>
      <c r="G29" s="84"/>
      <c r="H29" s="84"/>
      <c r="I29" s="84"/>
      <c r="J29" s="84"/>
      <c r="K29" s="84"/>
      <c r="L29" s="84"/>
    </row>
    <row r="30" spans="1:12" x14ac:dyDescent="0.25">
      <c r="A30" s="82"/>
      <c r="B30" s="84"/>
      <c r="C30" s="84"/>
      <c r="D30" s="84"/>
      <c r="E30" s="84"/>
      <c r="F30" s="84"/>
      <c r="G30" s="84"/>
      <c r="H30" s="84"/>
      <c r="I30" s="84"/>
      <c r="J30" s="84"/>
      <c r="K30" s="84"/>
      <c r="L30" s="84"/>
    </row>
    <row r="31" spans="1:12" x14ac:dyDescent="0.25">
      <c r="A31" s="82"/>
      <c r="B31" s="84"/>
      <c r="C31" s="84"/>
      <c r="D31" s="84"/>
      <c r="E31" s="84"/>
      <c r="F31" s="84"/>
      <c r="G31" s="84"/>
      <c r="H31" s="84"/>
      <c r="I31" s="84"/>
      <c r="J31" s="84"/>
      <c r="K31" s="84"/>
      <c r="L31" s="84"/>
    </row>
    <row r="32" spans="1:12" x14ac:dyDescent="0.25">
      <c r="A32" s="82"/>
      <c r="B32" s="84"/>
      <c r="C32" s="84"/>
      <c r="D32" s="84"/>
      <c r="E32" s="84"/>
      <c r="F32" s="84"/>
      <c r="G32" s="84"/>
      <c r="H32" s="84"/>
      <c r="I32" s="84"/>
      <c r="J32" s="84"/>
      <c r="K32" s="84"/>
      <c r="L32" s="84"/>
    </row>
    <row r="33" spans="1:12" x14ac:dyDescent="0.25">
      <c r="A33" s="82"/>
      <c r="B33" s="84"/>
      <c r="C33" s="84"/>
      <c r="D33" s="84"/>
      <c r="E33" s="84"/>
      <c r="F33" s="84"/>
      <c r="G33" s="84"/>
      <c r="H33" s="84"/>
      <c r="I33" s="84"/>
      <c r="J33" s="84"/>
      <c r="K33" s="84"/>
      <c r="L33" s="84"/>
    </row>
    <row r="34" spans="1:12" x14ac:dyDescent="0.25">
      <c r="A34" s="82"/>
      <c r="B34" s="84"/>
      <c r="C34" s="84"/>
      <c r="D34" s="84"/>
      <c r="E34" s="84"/>
      <c r="F34" s="84"/>
      <c r="G34" s="84"/>
      <c r="H34" s="84"/>
      <c r="I34" s="84"/>
      <c r="J34" s="84"/>
      <c r="K34" s="84"/>
      <c r="L34" s="84"/>
    </row>
    <row r="35" spans="1:12" x14ac:dyDescent="0.25">
      <c r="A35" s="82"/>
      <c r="B35" s="84"/>
      <c r="C35" s="84"/>
      <c r="D35" s="84"/>
      <c r="E35" s="84"/>
      <c r="F35" s="84"/>
      <c r="G35" s="84"/>
      <c r="H35" s="84"/>
      <c r="I35" s="84"/>
      <c r="J35" s="84"/>
      <c r="K35" s="84"/>
      <c r="L35" s="84"/>
    </row>
    <row r="36" spans="1:12" x14ac:dyDescent="0.25">
      <c r="A36" s="82"/>
      <c r="B36" s="84"/>
      <c r="C36" s="84"/>
      <c r="D36" s="84"/>
      <c r="E36" s="84"/>
      <c r="F36" s="84"/>
      <c r="G36" s="84"/>
      <c r="H36" s="84"/>
      <c r="I36" s="84"/>
      <c r="J36" s="84"/>
      <c r="K36" s="84"/>
      <c r="L36" s="84"/>
    </row>
    <row r="37" spans="1:12" x14ac:dyDescent="0.25">
      <c r="A37" s="82"/>
      <c r="B37" s="84"/>
      <c r="C37" s="84"/>
      <c r="D37" s="84"/>
      <c r="E37" s="84"/>
      <c r="F37" s="84"/>
      <c r="G37" s="84"/>
      <c r="H37" s="84"/>
      <c r="I37" s="84"/>
      <c r="J37" s="84"/>
      <c r="K37" s="84"/>
      <c r="L37" s="84"/>
    </row>
    <row r="38" spans="1:12" x14ac:dyDescent="0.25">
      <c r="A38" s="82"/>
      <c r="B38" s="84"/>
      <c r="C38" s="84"/>
      <c r="D38" s="84"/>
      <c r="E38" s="84"/>
      <c r="F38" s="84"/>
      <c r="G38" s="84"/>
      <c r="H38" s="84"/>
      <c r="I38" s="84"/>
      <c r="J38" s="84"/>
      <c r="K38" s="84"/>
      <c r="L38" s="84"/>
    </row>
    <row r="39" spans="1:12" x14ac:dyDescent="0.25">
      <c r="A39" s="82"/>
      <c r="B39" s="84"/>
      <c r="C39" s="84"/>
      <c r="D39" s="84"/>
      <c r="E39" s="84"/>
      <c r="F39" s="84"/>
      <c r="G39" s="84"/>
      <c r="H39" s="84"/>
      <c r="I39" s="84"/>
      <c r="J39" s="84"/>
      <c r="K39" s="84"/>
      <c r="L39" s="84"/>
    </row>
    <row r="40" spans="1:12" x14ac:dyDescent="0.25">
      <c r="A40" s="82"/>
      <c r="B40" s="84"/>
      <c r="C40" s="84"/>
      <c r="D40" s="84"/>
      <c r="E40" s="84"/>
      <c r="F40" s="84"/>
      <c r="G40" s="84"/>
      <c r="H40" s="84"/>
      <c r="I40" s="84"/>
      <c r="J40" s="84"/>
      <c r="K40" s="84"/>
      <c r="L40" s="84"/>
    </row>
    <row r="41" spans="1:12" x14ac:dyDescent="0.25">
      <c r="A41" s="82"/>
      <c r="B41" s="84"/>
      <c r="C41" s="84"/>
      <c r="D41" s="84"/>
      <c r="E41" s="84"/>
      <c r="F41" s="84"/>
      <c r="G41" s="84"/>
      <c r="H41" s="84"/>
      <c r="I41" s="84"/>
      <c r="J41" s="84"/>
      <c r="K41" s="84"/>
      <c r="L41" s="84"/>
    </row>
    <row r="42" spans="1:12" x14ac:dyDescent="0.25">
      <c r="A42" s="82"/>
      <c r="B42" s="84"/>
      <c r="C42" s="84"/>
      <c r="D42" s="84"/>
      <c r="E42" s="84"/>
      <c r="F42" s="84"/>
      <c r="G42" s="84"/>
      <c r="H42" s="84"/>
      <c r="I42" s="84"/>
      <c r="J42" s="84"/>
      <c r="K42" s="84"/>
      <c r="L42" s="84"/>
    </row>
    <row r="43" spans="1:12" x14ac:dyDescent="0.25">
      <c r="A43" s="82"/>
      <c r="B43" s="84"/>
      <c r="C43" s="84"/>
      <c r="D43" s="84"/>
      <c r="E43" s="84"/>
      <c r="F43" s="84"/>
      <c r="G43" s="84"/>
      <c r="H43" s="84"/>
      <c r="I43" s="84"/>
      <c r="J43" s="84"/>
      <c r="K43" s="84"/>
      <c r="L43" s="84"/>
    </row>
    <row r="44" spans="1:12" x14ac:dyDescent="0.25">
      <c r="A44" s="82"/>
      <c r="B44" s="84"/>
      <c r="C44" s="84"/>
      <c r="D44" s="84"/>
      <c r="E44" s="84"/>
      <c r="F44" s="84"/>
      <c r="G44" s="84"/>
      <c r="H44" s="84"/>
      <c r="I44" s="84"/>
      <c r="J44" s="84"/>
      <c r="K44" s="84"/>
      <c r="L44" s="84"/>
    </row>
    <row r="45" spans="1:12" x14ac:dyDescent="0.25">
      <c r="A45" s="82"/>
      <c r="B45" s="84"/>
      <c r="C45" s="83"/>
      <c r="D45" s="84"/>
      <c r="E45" s="84"/>
      <c r="F45" s="83"/>
      <c r="G45" s="84"/>
      <c r="H45" s="83"/>
      <c r="I45" s="84"/>
      <c r="J45" s="84"/>
      <c r="K45" s="84"/>
      <c r="L45" s="84"/>
    </row>
    <row r="46" spans="1:12" x14ac:dyDescent="0.25">
      <c r="A46" s="82"/>
      <c r="B46" s="84"/>
      <c r="C46" s="84"/>
      <c r="D46" s="84"/>
      <c r="E46" s="84"/>
      <c r="F46" s="84"/>
      <c r="G46" s="84"/>
      <c r="H46" s="84"/>
      <c r="I46" s="84"/>
      <c r="J46" s="84"/>
      <c r="K46" s="84"/>
      <c r="L46" s="84"/>
    </row>
    <row r="47" spans="1:12" x14ac:dyDescent="0.25">
      <c r="A47" s="82"/>
      <c r="B47" s="84"/>
      <c r="C47" s="84"/>
      <c r="D47" s="84"/>
      <c r="E47" s="84"/>
      <c r="F47" s="84"/>
      <c r="G47" s="84"/>
      <c r="H47" s="84"/>
      <c r="I47" s="84"/>
      <c r="J47" s="84"/>
      <c r="K47" s="84"/>
      <c r="L47" s="84"/>
    </row>
    <row r="48" spans="1:12" x14ac:dyDescent="0.25">
      <c r="A48" s="82"/>
      <c r="B48" s="83"/>
      <c r="C48" s="83"/>
      <c r="D48" s="83"/>
      <c r="E48" s="83"/>
      <c r="F48" s="83"/>
      <c r="G48" s="83"/>
      <c r="H48" s="83"/>
      <c r="I48" s="83"/>
      <c r="J48" s="83"/>
      <c r="K48" s="84"/>
      <c r="L48" s="84"/>
    </row>
    <row r="49" spans="1:12" x14ac:dyDescent="0.25">
      <c r="A49" s="82"/>
      <c r="B49" s="84"/>
      <c r="C49" s="84"/>
      <c r="D49" s="84"/>
      <c r="E49" s="84"/>
      <c r="F49" s="84"/>
      <c r="G49" s="84"/>
      <c r="H49" s="84"/>
      <c r="I49" s="84"/>
      <c r="J49" s="84"/>
      <c r="K49" s="84"/>
      <c r="L49" s="84"/>
    </row>
    <row r="50" spans="1:12" x14ac:dyDescent="0.25">
      <c r="A50" s="82"/>
      <c r="B50" s="84"/>
      <c r="C50" s="84"/>
      <c r="D50" s="84"/>
      <c r="E50" s="84"/>
      <c r="F50" s="84"/>
      <c r="G50" s="84"/>
      <c r="H50" s="84"/>
      <c r="I50" s="84"/>
      <c r="J50" s="84"/>
      <c r="K50" s="84"/>
      <c r="L50" s="84"/>
    </row>
    <row r="51" spans="1:12" x14ac:dyDescent="0.25">
      <c r="A51" s="82"/>
      <c r="B51" s="84"/>
      <c r="C51" s="84"/>
      <c r="D51" s="84"/>
      <c r="E51" s="84"/>
      <c r="F51" s="84"/>
      <c r="G51" s="84"/>
      <c r="H51" s="84"/>
      <c r="I51" s="84"/>
      <c r="J51" s="84"/>
      <c r="K51" s="84"/>
      <c r="L51" s="84"/>
    </row>
    <row r="52" spans="1:12" x14ac:dyDescent="0.25">
      <c r="A52" s="82"/>
      <c r="B52" s="83"/>
      <c r="C52" s="83"/>
      <c r="D52" s="83"/>
      <c r="E52" s="83"/>
      <c r="F52" s="83"/>
      <c r="G52" s="83"/>
      <c r="H52" s="83"/>
      <c r="I52" s="83"/>
      <c r="J52" s="83"/>
      <c r="K52" s="83"/>
      <c r="L52" s="83"/>
    </row>
    <row r="53" spans="1:12" x14ac:dyDescent="0.25">
      <c r="A53" s="82"/>
      <c r="B53" s="84"/>
      <c r="C53" s="84"/>
      <c r="D53" s="84"/>
      <c r="E53" s="84"/>
      <c r="F53" s="84"/>
      <c r="G53" s="84"/>
      <c r="H53" s="84"/>
      <c r="I53" s="84"/>
      <c r="J53" s="84"/>
      <c r="K53" s="84"/>
      <c r="L53" s="84"/>
    </row>
    <row r="54" spans="1:12" x14ac:dyDescent="0.25">
      <c r="A54" s="82"/>
      <c r="B54" s="84"/>
      <c r="C54" s="84"/>
      <c r="D54" s="84"/>
      <c r="E54" s="84"/>
      <c r="F54" s="84"/>
      <c r="G54" s="84"/>
      <c r="H54" s="84"/>
      <c r="I54" s="84"/>
      <c r="J54" s="84"/>
      <c r="K54" s="84"/>
      <c r="L54" s="84"/>
    </row>
    <row r="55" spans="1:12" x14ac:dyDescent="0.25">
      <c r="A55" s="82"/>
      <c r="B55" s="84"/>
      <c r="C55" s="84"/>
      <c r="D55" s="84"/>
      <c r="E55" s="84"/>
      <c r="F55" s="84"/>
      <c r="G55" s="84"/>
      <c r="H55" s="84"/>
      <c r="I55" s="84"/>
      <c r="J55" s="84"/>
      <c r="K55" s="84"/>
      <c r="L55" s="84"/>
    </row>
    <row r="56" spans="1:12" x14ac:dyDescent="0.25">
      <c r="A56" s="82"/>
      <c r="B56" s="84"/>
      <c r="C56" s="84"/>
      <c r="D56" s="84"/>
      <c r="E56" s="84"/>
      <c r="F56" s="84"/>
      <c r="G56" s="84"/>
      <c r="H56" s="84"/>
      <c r="I56" s="84"/>
      <c r="J56" s="84"/>
      <c r="K56" s="84"/>
      <c r="L56" s="84"/>
    </row>
    <row r="57" spans="1:12" x14ac:dyDescent="0.25">
      <c r="A57" s="82"/>
      <c r="B57" s="84"/>
      <c r="C57" s="84"/>
      <c r="D57" s="84"/>
      <c r="E57" s="84"/>
      <c r="F57" s="84"/>
      <c r="G57" s="84"/>
      <c r="H57" s="84"/>
      <c r="I57" s="84"/>
      <c r="J57" s="84"/>
      <c r="K57" s="84"/>
      <c r="L57" s="84"/>
    </row>
    <row r="58" spans="1:12" x14ac:dyDescent="0.25">
      <c r="A58" s="82"/>
      <c r="B58" s="84"/>
      <c r="C58" s="84"/>
      <c r="D58" s="84"/>
      <c r="E58" s="84"/>
      <c r="F58" s="84"/>
      <c r="G58" s="84"/>
      <c r="H58" s="84"/>
      <c r="I58" s="84"/>
      <c r="J58" s="84"/>
      <c r="K58" s="84"/>
      <c r="L58" s="84"/>
    </row>
    <row r="59" spans="1:12" x14ac:dyDescent="0.25">
      <c r="A59" s="82"/>
      <c r="B59" s="84"/>
      <c r="C59" s="84"/>
      <c r="D59" s="84"/>
      <c r="E59" s="84"/>
      <c r="F59" s="84"/>
      <c r="G59" s="84"/>
      <c r="H59" s="84"/>
      <c r="I59" s="84"/>
      <c r="J59" s="84"/>
      <c r="K59" s="84"/>
      <c r="L59" s="84"/>
    </row>
    <row r="60" spans="1:12" x14ac:dyDescent="0.25">
      <c r="A60" s="82"/>
      <c r="B60" s="84"/>
      <c r="C60" s="84"/>
      <c r="D60" s="84"/>
      <c r="E60" s="84"/>
      <c r="F60" s="84"/>
      <c r="G60" s="84"/>
      <c r="H60" s="84"/>
      <c r="I60" s="84"/>
      <c r="J60" s="84"/>
      <c r="K60" s="84"/>
      <c r="L60" s="84"/>
    </row>
    <row r="61" spans="1:12" x14ac:dyDescent="0.25">
      <c r="A61" s="82"/>
      <c r="B61" s="83"/>
      <c r="C61" s="83"/>
      <c r="D61" s="83"/>
      <c r="E61" s="83"/>
      <c r="F61" s="83"/>
      <c r="G61" s="83"/>
      <c r="H61" s="83"/>
      <c r="I61" s="83"/>
      <c r="J61" s="83"/>
      <c r="K61" s="83"/>
      <c r="L61" s="83"/>
    </row>
    <row r="62" spans="1:12" x14ac:dyDescent="0.25">
      <c r="A62" s="82"/>
      <c r="B62" s="84"/>
      <c r="C62" s="84"/>
      <c r="D62" s="84"/>
      <c r="E62" s="84"/>
      <c r="F62" s="84"/>
      <c r="G62" s="84"/>
      <c r="H62" s="84"/>
      <c r="I62" s="84"/>
      <c r="J62" s="84"/>
      <c r="K62" s="84"/>
      <c r="L62" s="84"/>
    </row>
    <row r="63" spans="1:12" x14ac:dyDescent="0.25">
      <c r="A63" s="82"/>
      <c r="B63" s="84"/>
      <c r="C63" s="84"/>
      <c r="D63" s="84"/>
      <c r="E63" s="84"/>
      <c r="F63" s="84"/>
      <c r="G63" s="84"/>
      <c r="H63" s="84"/>
      <c r="I63" s="84"/>
      <c r="J63" s="84"/>
      <c r="K63" s="84"/>
      <c r="L63" s="84"/>
    </row>
    <row r="64" spans="1:12" x14ac:dyDescent="0.25">
      <c r="A64" s="82"/>
      <c r="B64" s="83"/>
      <c r="C64" s="83"/>
      <c r="D64" s="83"/>
      <c r="E64" s="83"/>
      <c r="F64" s="83"/>
      <c r="G64" s="83"/>
      <c r="H64" s="83"/>
      <c r="I64" s="83"/>
      <c r="J64" s="83"/>
      <c r="K64" s="84"/>
      <c r="L64" s="84"/>
    </row>
    <row r="65" spans="1:12" x14ac:dyDescent="0.25">
      <c r="A65" s="82"/>
      <c r="B65" s="84"/>
      <c r="C65" s="84"/>
      <c r="D65" s="84"/>
      <c r="E65" s="84"/>
      <c r="F65" s="84"/>
      <c r="G65" s="84"/>
      <c r="H65" s="84"/>
      <c r="I65" s="84"/>
      <c r="J65" s="84"/>
      <c r="K65" s="84"/>
      <c r="L65" s="84"/>
    </row>
    <row r="66" spans="1:12" x14ac:dyDescent="0.25">
      <c r="A66" s="82"/>
      <c r="B66" s="83"/>
      <c r="C66" s="83"/>
      <c r="D66" s="83"/>
      <c r="E66" s="83"/>
      <c r="F66" s="83"/>
      <c r="G66" s="83"/>
      <c r="H66" s="83"/>
      <c r="I66" s="83"/>
      <c r="J66" s="83"/>
      <c r="K66" s="83"/>
      <c r="L66" s="83"/>
    </row>
    <row r="67" spans="1:12" x14ac:dyDescent="0.25">
      <c r="A67" s="82"/>
      <c r="B67" s="83"/>
      <c r="C67" s="83"/>
      <c r="D67" s="83"/>
      <c r="E67" s="83"/>
      <c r="F67" s="83"/>
      <c r="G67" s="83"/>
      <c r="H67" s="83"/>
      <c r="I67" s="83"/>
      <c r="J67" s="83"/>
      <c r="K67" s="83"/>
      <c r="L67" s="83"/>
    </row>
    <row r="68" spans="1:12" x14ac:dyDescent="0.25">
      <c r="A68" s="82"/>
      <c r="B68" s="83"/>
      <c r="C68" s="83"/>
      <c r="D68" s="83"/>
      <c r="E68" s="83"/>
      <c r="F68" s="83"/>
      <c r="G68" s="83"/>
      <c r="H68" s="83"/>
      <c r="I68" s="83"/>
      <c r="J68" s="83"/>
      <c r="K68" s="84"/>
      <c r="L68" s="84"/>
    </row>
    <row r="69" spans="1:12" x14ac:dyDescent="0.25">
      <c r="A69" s="82"/>
      <c r="B69" s="83"/>
      <c r="C69" s="83"/>
      <c r="D69" s="83"/>
      <c r="E69" s="83"/>
      <c r="F69" s="83"/>
      <c r="G69" s="83"/>
      <c r="H69" s="83"/>
      <c r="I69" s="83"/>
      <c r="J69" s="83"/>
      <c r="K69" s="84"/>
      <c r="L69" s="84"/>
    </row>
    <row r="70" spans="1:12" x14ac:dyDescent="0.25">
      <c r="A70" s="82"/>
      <c r="B70" s="84"/>
      <c r="C70" s="84"/>
      <c r="D70" s="84"/>
      <c r="E70" s="84"/>
      <c r="F70" s="84"/>
      <c r="G70" s="84"/>
      <c r="H70" s="84"/>
      <c r="I70" s="84"/>
      <c r="J70" s="84"/>
      <c r="K70" s="84"/>
      <c r="L70" s="84"/>
    </row>
    <row r="71" spans="1:12" x14ac:dyDescent="0.25">
      <c r="A71" s="82"/>
      <c r="B71" s="83"/>
      <c r="C71" s="83"/>
      <c r="D71" s="83"/>
      <c r="E71" s="83"/>
      <c r="F71" s="83"/>
      <c r="G71" s="83"/>
      <c r="H71" s="83"/>
      <c r="I71" s="83"/>
      <c r="J71" s="83"/>
      <c r="K71" s="83"/>
      <c r="L71" s="83"/>
    </row>
    <row r="72" spans="1:12" x14ac:dyDescent="0.25">
      <c r="A72" s="82"/>
      <c r="B72" s="83"/>
      <c r="C72" s="83"/>
      <c r="D72" s="83"/>
      <c r="E72" s="83"/>
      <c r="F72" s="83"/>
      <c r="G72" s="83"/>
      <c r="H72" s="83"/>
      <c r="I72" s="83"/>
      <c r="J72" s="83"/>
      <c r="K72" s="83"/>
      <c r="L72" s="83"/>
    </row>
    <row r="73" spans="1:12" x14ac:dyDescent="0.25">
      <c r="A73" s="82"/>
      <c r="B73" s="83"/>
      <c r="C73" s="83"/>
      <c r="D73" s="83"/>
      <c r="E73" s="83"/>
      <c r="F73" s="83"/>
      <c r="G73" s="83"/>
      <c r="H73" s="83"/>
      <c r="I73" s="83"/>
      <c r="J73" s="83"/>
      <c r="K73" s="83"/>
      <c r="L73" s="83"/>
    </row>
    <row r="74" spans="1:12" x14ac:dyDescent="0.25">
      <c r="A74" s="82"/>
      <c r="B74" s="83"/>
      <c r="C74" s="83"/>
      <c r="D74" s="83"/>
      <c r="E74" s="83"/>
      <c r="F74" s="83"/>
      <c r="G74" s="83"/>
      <c r="H74" s="83"/>
      <c r="I74" s="83"/>
      <c r="J74" s="83"/>
      <c r="K74" s="83"/>
      <c r="L74" s="83"/>
    </row>
    <row r="75" spans="1:12" x14ac:dyDescent="0.25">
      <c r="A75" s="82"/>
      <c r="B75" s="83"/>
      <c r="C75" s="83"/>
      <c r="D75" s="83"/>
      <c r="E75" s="83"/>
      <c r="F75" s="83"/>
      <c r="G75" s="83"/>
      <c r="H75" s="83"/>
      <c r="I75" s="83"/>
      <c r="J75" s="83"/>
      <c r="K75" s="83"/>
      <c r="L75" s="83"/>
    </row>
    <row r="76" spans="1:12" x14ac:dyDescent="0.25">
      <c r="A76" s="82"/>
      <c r="B76" s="83"/>
      <c r="C76" s="83"/>
      <c r="D76" s="83"/>
      <c r="E76" s="83"/>
      <c r="F76" s="83"/>
      <c r="G76" s="83"/>
      <c r="H76" s="83"/>
      <c r="I76" s="83"/>
      <c r="J76" s="83"/>
      <c r="K76" s="83"/>
      <c r="L76" s="83"/>
    </row>
    <row r="77" spans="1:12" x14ac:dyDescent="0.25">
      <c r="A77" s="82"/>
      <c r="B77" s="83"/>
      <c r="C77" s="83"/>
      <c r="D77" s="83"/>
      <c r="E77" s="83"/>
      <c r="F77" s="83"/>
      <c r="G77" s="83"/>
      <c r="H77" s="83"/>
      <c r="I77" s="83"/>
      <c r="J77" s="83"/>
      <c r="K77" s="83"/>
      <c r="L77" s="83"/>
    </row>
    <row r="78" spans="1:12" x14ac:dyDescent="0.25">
      <c r="A78" s="82"/>
      <c r="B78" s="83"/>
      <c r="C78" s="83"/>
      <c r="D78" s="83"/>
      <c r="E78" s="83"/>
      <c r="F78" s="83"/>
      <c r="G78" s="83"/>
      <c r="H78" s="83"/>
      <c r="I78" s="83"/>
      <c r="J78" s="83"/>
      <c r="K78" s="83"/>
      <c r="L78" s="83"/>
    </row>
    <row r="79" spans="1:12" x14ac:dyDescent="0.25">
      <c r="A79" s="82"/>
      <c r="B79" s="83"/>
      <c r="C79" s="83"/>
      <c r="D79" s="83"/>
      <c r="E79" s="83"/>
      <c r="F79" s="83"/>
      <c r="G79" s="83"/>
      <c r="H79" s="83"/>
      <c r="I79" s="83"/>
      <c r="J79" s="83"/>
      <c r="K79" s="83"/>
      <c r="L79" s="83"/>
    </row>
    <row r="80" spans="1:12" x14ac:dyDescent="0.25">
      <c r="A80" s="82"/>
      <c r="B80" s="83"/>
      <c r="C80" s="83"/>
      <c r="D80" s="83"/>
      <c r="E80" s="83"/>
      <c r="F80" s="83"/>
      <c r="G80" s="83"/>
      <c r="H80" s="83"/>
      <c r="I80" s="83"/>
      <c r="J80" s="83"/>
      <c r="K80" s="83"/>
      <c r="L80" s="83"/>
    </row>
    <row r="81" spans="1:12" x14ac:dyDescent="0.25">
      <c r="A81" s="82"/>
      <c r="B81" s="83"/>
      <c r="C81" s="83"/>
      <c r="D81" s="83"/>
      <c r="E81" s="83"/>
      <c r="F81" s="83"/>
      <c r="G81" s="83"/>
      <c r="H81" s="83"/>
      <c r="I81" s="83"/>
      <c r="J81" s="83"/>
      <c r="K81" s="83"/>
      <c r="L81" s="83"/>
    </row>
    <row r="82" spans="1:12" x14ac:dyDescent="0.25">
      <c r="A82" s="82"/>
      <c r="B82" s="83"/>
      <c r="C82" s="83"/>
      <c r="D82" s="83"/>
      <c r="E82" s="83"/>
      <c r="F82" s="83"/>
      <c r="G82" s="83"/>
      <c r="H82" s="83"/>
      <c r="I82" s="83"/>
      <c r="J82" s="83"/>
      <c r="K82" s="83"/>
      <c r="L82" s="83"/>
    </row>
    <row r="83" spans="1:12" x14ac:dyDescent="0.25">
      <c r="A83" s="82"/>
      <c r="B83" s="83"/>
      <c r="C83" s="83"/>
      <c r="D83" s="83"/>
      <c r="E83" s="83"/>
      <c r="F83" s="83"/>
      <c r="G83" s="83"/>
      <c r="H83" s="83"/>
      <c r="I83" s="83"/>
      <c r="J83" s="83"/>
      <c r="K83" s="83"/>
      <c r="L83" s="83"/>
    </row>
    <row r="84" spans="1:12" x14ac:dyDescent="0.25">
      <c r="A84" s="82"/>
      <c r="B84" s="83"/>
      <c r="C84" s="83"/>
      <c r="D84" s="83"/>
      <c r="E84" s="83"/>
      <c r="F84" s="83"/>
      <c r="G84" s="83"/>
      <c r="H84" s="83"/>
      <c r="I84" s="83"/>
      <c r="J84" s="83"/>
      <c r="K84" s="83"/>
      <c r="L84" s="83"/>
    </row>
    <row r="85" spans="1:12" x14ac:dyDescent="0.25">
      <c r="A85" s="82"/>
      <c r="B85" s="83"/>
      <c r="C85" s="83"/>
      <c r="D85" s="83"/>
      <c r="E85" s="83"/>
      <c r="F85" s="83"/>
      <c r="G85" s="83"/>
      <c r="H85" s="83"/>
      <c r="I85" s="83"/>
      <c r="J85" s="83"/>
      <c r="K85" s="83"/>
      <c r="L85" s="83"/>
    </row>
    <row r="86" spans="1:12" x14ac:dyDescent="0.25">
      <c r="A86" s="82"/>
      <c r="B86" s="83"/>
      <c r="C86" s="83"/>
      <c r="D86" s="83"/>
      <c r="E86" s="83"/>
      <c r="F86" s="83"/>
      <c r="G86" s="83"/>
      <c r="H86" s="83"/>
      <c r="I86" s="83"/>
      <c r="J86" s="83"/>
      <c r="K86" s="83"/>
      <c r="L86" s="83"/>
    </row>
    <row r="87" spans="1:12" x14ac:dyDescent="0.25">
      <c r="A87" s="82"/>
      <c r="B87" s="83"/>
      <c r="C87" s="83"/>
      <c r="D87" s="83"/>
      <c r="E87" s="83"/>
      <c r="F87" s="83"/>
      <c r="G87" s="83"/>
      <c r="H87" s="83"/>
      <c r="I87" s="83"/>
      <c r="J87" s="83"/>
      <c r="K87" s="83"/>
      <c r="L87" s="83"/>
    </row>
    <row r="88" spans="1:12" x14ac:dyDescent="0.25">
      <c r="A88" s="82"/>
      <c r="B88" s="83"/>
      <c r="C88" s="83"/>
      <c r="D88" s="83"/>
      <c r="E88" s="83"/>
      <c r="F88" s="83"/>
      <c r="G88" s="83"/>
      <c r="H88" s="83"/>
      <c r="I88" s="83"/>
      <c r="J88" s="83"/>
      <c r="K88" s="83"/>
      <c r="L88" s="83"/>
    </row>
    <row r="89" spans="1:12" x14ac:dyDescent="0.25">
      <c r="A89" s="82"/>
      <c r="B89" s="83"/>
      <c r="C89" s="83"/>
      <c r="D89" s="83"/>
      <c r="E89" s="83"/>
      <c r="F89" s="83"/>
      <c r="G89" s="83"/>
      <c r="H89" s="83"/>
      <c r="I89" s="83"/>
      <c r="J89" s="83"/>
      <c r="K89" s="83"/>
      <c r="L89" s="83"/>
    </row>
    <row r="90" spans="1:12" x14ac:dyDescent="0.25">
      <c r="A90" s="82"/>
      <c r="B90" s="83"/>
      <c r="C90" s="83"/>
      <c r="D90" s="83"/>
      <c r="E90" s="83"/>
      <c r="F90" s="83"/>
      <c r="G90" s="83"/>
      <c r="H90" s="83"/>
      <c r="I90" s="83"/>
      <c r="J90" s="83"/>
      <c r="K90" s="83"/>
      <c r="L90" s="83"/>
    </row>
    <row r="91" spans="1:12" x14ac:dyDescent="0.25">
      <c r="A91" s="82"/>
      <c r="B91" s="83"/>
      <c r="C91" s="83"/>
      <c r="D91" s="83"/>
      <c r="E91" s="83"/>
      <c r="F91" s="83"/>
      <c r="G91" s="83"/>
      <c r="H91" s="83"/>
      <c r="I91" s="83"/>
      <c r="J91" s="83"/>
      <c r="K91" s="83"/>
      <c r="L91" s="83"/>
    </row>
    <row r="92" spans="1:12" x14ac:dyDescent="0.25">
      <c r="A92" s="82"/>
      <c r="B92" s="83"/>
      <c r="C92" s="83"/>
      <c r="D92" s="83"/>
      <c r="E92" s="83"/>
      <c r="F92" s="83"/>
      <c r="G92" s="83"/>
      <c r="H92" s="83"/>
      <c r="I92" s="83"/>
      <c r="J92" s="83"/>
      <c r="K92" s="83"/>
      <c r="L92" s="83"/>
    </row>
    <row r="93" spans="1:12" x14ac:dyDescent="0.25">
      <c r="A93" s="82"/>
      <c r="B93" s="83"/>
      <c r="C93" s="83"/>
      <c r="D93" s="83"/>
      <c r="E93" s="83"/>
      <c r="F93" s="83"/>
      <c r="G93" s="83"/>
      <c r="H93" s="83"/>
      <c r="I93" s="83"/>
      <c r="J93" s="83"/>
      <c r="K93" s="83"/>
      <c r="L93" s="83"/>
    </row>
    <row r="94" spans="1:12" x14ac:dyDescent="0.25">
      <c r="A94" s="82"/>
      <c r="B94" s="83"/>
      <c r="C94" s="83"/>
      <c r="D94" s="83"/>
      <c r="E94" s="83"/>
      <c r="F94" s="83"/>
      <c r="G94" s="83"/>
      <c r="H94" s="83"/>
      <c r="I94" s="83"/>
      <c r="J94" s="83"/>
      <c r="K94" s="83"/>
      <c r="L94" s="83"/>
    </row>
    <row r="95" spans="1:12" x14ac:dyDescent="0.25">
      <c r="A95" s="82"/>
      <c r="B95" s="83"/>
      <c r="C95" s="83"/>
      <c r="D95" s="83"/>
      <c r="E95" s="83"/>
      <c r="F95" s="83"/>
      <c r="G95" s="83"/>
      <c r="H95" s="83"/>
      <c r="I95" s="83"/>
      <c r="J95" s="83"/>
      <c r="K95" s="83"/>
      <c r="L95" s="83"/>
    </row>
    <row r="96" spans="1:12" x14ac:dyDescent="0.25">
      <c r="A96" s="82"/>
      <c r="B96" s="83"/>
      <c r="C96" s="83"/>
      <c r="D96" s="83"/>
      <c r="E96" s="83"/>
      <c r="F96" s="83"/>
      <c r="G96" s="83"/>
      <c r="H96" s="83"/>
      <c r="I96" s="83"/>
      <c r="J96" s="83"/>
      <c r="K96" s="83"/>
      <c r="L96" s="83"/>
    </row>
    <row r="97" spans="1:12" x14ac:dyDescent="0.25">
      <c r="A97" s="82"/>
      <c r="B97" s="83"/>
      <c r="C97" s="83"/>
      <c r="D97" s="83"/>
      <c r="E97" s="83"/>
      <c r="F97" s="83"/>
      <c r="G97" s="83"/>
      <c r="H97" s="83"/>
      <c r="I97" s="83"/>
      <c r="J97" s="83"/>
      <c r="K97" s="83"/>
      <c r="L97" s="83"/>
    </row>
    <row r="98" spans="1:12" x14ac:dyDescent="0.25">
      <c r="A98" s="82"/>
      <c r="B98" s="83"/>
      <c r="C98" s="83"/>
      <c r="D98" s="83"/>
      <c r="E98" s="83"/>
      <c r="F98" s="83"/>
      <c r="G98" s="83"/>
      <c r="H98" s="83"/>
      <c r="I98" s="83"/>
      <c r="J98" s="83"/>
      <c r="K98" s="83"/>
      <c r="L98" s="83"/>
    </row>
    <row r="99" spans="1:12" x14ac:dyDescent="0.25">
      <c r="A99" s="82"/>
      <c r="B99" s="83"/>
      <c r="C99" s="83"/>
      <c r="D99" s="83"/>
      <c r="E99" s="83"/>
      <c r="F99" s="83"/>
      <c r="G99" s="83"/>
      <c r="H99" s="83"/>
      <c r="I99" s="83"/>
      <c r="J99" s="83"/>
      <c r="K99" s="83"/>
      <c r="L99" s="83"/>
    </row>
  </sheetData>
  <sheetProtection formatCells="0" formatColumns="0" formatRows="0"/>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7.25" zeroHeight="1" x14ac:dyDescent="0.25"/>
  <cols>
    <col min="1" max="1" width="4" style="6" customWidth="1"/>
    <col min="2" max="2" width="50.5703125" style="6" customWidth="1"/>
    <col min="3" max="3" width="79" style="22" customWidth="1"/>
    <col min="4" max="4" width="83.42578125" style="22" customWidth="1"/>
    <col min="5" max="5" width="69.42578125" style="22" customWidth="1"/>
    <col min="6" max="6" width="56.42578125" style="6" customWidth="1"/>
    <col min="7" max="8" width="13.85546875" style="6" hidden="1" customWidth="1"/>
    <col min="9" max="14" width="16.85546875" style="6" hidden="1" customWidth="1"/>
    <col min="15" max="15" width="1.85546875" style="6" hidden="1" customWidth="1"/>
    <col min="16" max="18" width="0" style="6" hidden="1" customWidth="1"/>
    <col min="19" max="21" width="9.140625" style="6" hidden="1" customWidth="1"/>
    <col min="22" max="16384" width="9.140625" style="6" hidden="1"/>
  </cols>
  <sheetData>
    <row r="1" spans="1:20" x14ac:dyDescent="0.25">
      <c r="A1" s="26"/>
      <c r="B1" s="26"/>
      <c r="C1" s="31"/>
      <c r="D1" s="31"/>
      <c r="E1" s="31"/>
      <c r="F1" s="26"/>
      <c r="G1" s="26"/>
      <c r="H1" s="26"/>
      <c r="I1" s="26"/>
      <c r="J1" s="26"/>
      <c r="K1" s="26"/>
      <c r="L1" s="26"/>
      <c r="M1" s="26"/>
      <c r="N1" s="26"/>
      <c r="O1" s="26"/>
      <c r="P1" s="26"/>
      <c r="Q1" s="26"/>
      <c r="R1" s="26"/>
    </row>
    <row r="2" spans="1:20" ht="30" customHeight="1" x14ac:dyDescent="0.25">
      <c r="A2" s="26"/>
      <c r="B2" s="37" t="s">
        <v>71</v>
      </c>
      <c r="C2" s="37" t="s">
        <v>61</v>
      </c>
      <c r="D2" s="37" t="s">
        <v>62</v>
      </c>
      <c r="E2" s="37" t="s">
        <v>63</v>
      </c>
      <c r="F2" s="27"/>
      <c r="G2" s="27"/>
      <c r="H2" s="27"/>
      <c r="I2" s="27"/>
      <c r="J2" s="27"/>
      <c r="K2" s="27"/>
      <c r="L2" s="27"/>
      <c r="M2" s="28"/>
      <c r="N2" s="28"/>
      <c r="O2" s="29"/>
      <c r="P2" s="26"/>
      <c r="Q2" s="26"/>
      <c r="R2" s="26"/>
      <c r="S2" s="26"/>
      <c r="T2" s="26"/>
    </row>
    <row r="3" spans="1:20" ht="30" customHeight="1" x14ac:dyDescent="0.25">
      <c r="A3" s="26"/>
      <c r="B3" s="38" t="s">
        <v>1</v>
      </c>
      <c r="C3" s="41" t="s">
        <v>19</v>
      </c>
      <c r="D3" s="41" t="s">
        <v>20</v>
      </c>
      <c r="E3" s="41" t="s">
        <v>21</v>
      </c>
      <c r="F3" s="30"/>
      <c r="G3" s="30"/>
      <c r="H3" s="30"/>
      <c r="I3" s="30"/>
      <c r="J3" s="30"/>
      <c r="K3" s="30"/>
      <c r="L3" s="30"/>
      <c r="M3" s="30"/>
      <c r="N3" s="30"/>
      <c r="O3" s="31"/>
      <c r="P3" s="26"/>
      <c r="Q3" s="26"/>
      <c r="R3" s="26"/>
      <c r="S3" s="26"/>
      <c r="T3" s="26"/>
    </row>
    <row r="4" spans="1:20" ht="30" customHeight="1" x14ac:dyDescent="0.25">
      <c r="A4" s="26"/>
      <c r="B4" s="143" t="s">
        <v>2</v>
      </c>
      <c r="C4" s="144" t="s">
        <v>22</v>
      </c>
      <c r="D4" s="144" t="s">
        <v>23</v>
      </c>
      <c r="E4" s="144" t="s">
        <v>24</v>
      </c>
      <c r="F4" s="30"/>
      <c r="G4" s="30"/>
      <c r="H4" s="30"/>
      <c r="I4" s="30"/>
      <c r="J4" s="30"/>
      <c r="K4" s="30"/>
      <c r="L4" s="30"/>
      <c r="M4" s="30"/>
      <c r="N4" s="30"/>
      <c r="O4" s="31"/>
      <c r="P4" s="26"/>
      <c r="Q4" s="26"/>
      <c r="R4" s="26"/>
      <c r="S4" s="26"/>
      <c r="T4" s="26"/>
    </row>
    <row r="5" spans="1:20" ht="30" customHeight="1" x14ac:dyDescent="0.25">
      <c r="A5" s="26"/>
      <c r="B5" s="38" t="s">
        <v>9</v>
      </c>
      <c r="C5" s="41" t="s">
        <v>25</v>
      </c>
      <c r="D5" s="41" t="s">
        <v>27</v>
      </c>
      <c r="E5" s="41" t="s">
        <v>26</v>
      </c>
      <c r="F5" s="30"/>
      <c r="G5" s="30"/>
      <c r="H5" s="30"/>
      <c r="I5" s="30"/>
      <c r="J5" s="30"/>
      <c r="K5" s="30"/>
      <c r="L5" s="30"/>
      <c r="M5" s="30"/>
      <c r="N5" s="30"/>
      <c r="O5" s="31"/>
      <c r="P5" s="26"/>
      <c r="Q5" s="26"/>
      <c r="R5" s="26"/>
      <c r="S5" s="26"/>
      <c r="T5" s="26"/>
    </row>
    <row r="6" spans="1:20" ht="30" customHeight="1" x14ac:dyDescent="0.25">
      <c r="A6" s="26"/>
      <c r="B6" s="143" t="s">
        <v>0</v>
      </c>
      <c r="C6" s="144" t="s">
        <v>28</v>
      </c>
      <c r="D6" s="144" t="s">
        <v>29</v>
      </c>
      <c r="E6" s="144"/>
      <c r="F6" s="30"/>
      <c r="G6" s="30"/>
      <c r="H6" s="30"/>
      <c r="I6" s="30"/>
      <c r="J6" s="30"/>
      <c r="K6" s="30"/>
      <c r="L6" s="30"/>
      <c r="M6" s="30"/>
      <c r="N6" s="30"/>
      <c r="O6" s="31"/>
      <c r="P6" s="26"/>
      <c r="Q6" s="26"/>
      <c r="R6" s="26"/>
      <c r="S6" s="26"/>
      <c r="T6" s="26"/>
    </row>
    <row r="7" spans="1:20" ht="30" customHeight="1" x14ac:dyDescent="0.25">
      <c r="A7" s="26"/>
      <c r="B7" s="38" t="s">
        <v>10</v>
      </c>
      <c r="C7" s="39" t="s">
        <v>30</v>
      </c>
      <c r="D7" s="41"/>
      <c r="E7" s="41"/>
      <c r="F7" s="30"/>
      <c r="G7" s="30"/>
      <c r="H7" s="30"/>
      <c r="I7" s="30"/>
      <c r="J7" s="30"/>
      <c r="K7" s="30"/>
      <c r="L7" s="30"/>
      <c r="M7" s="30"/>
      <c r="N7" s="30"/>
      <c r="O7" s="31"/>
      <c r="P7" s="26"/>
      <c r="Q7" s="26"/>
      <c r="R7" s="26"/>
      <c r="S7" s="26"/>
      <c r="T7" s="26"/>
    </row>
    <row r="8" spans="1:20" ht="24.95" customHeight="1" x14ac:dyDescent="0.25">
      <c r="A8" s="26"/>
      <c r="C8" s="6"/>
      <c r="D8" s="6"/>
      <c r="E8" s="6"/>
      <c r="F8" s="30"/>
      <c r="G8" s="30"/>
      <c r="H8" s="30"/>
      <c r="I8" s="30"/>
      <c r="J8" s="30"/>
      <c r="K8" s="30"/>
      <c r="L8" s="30"/>
      <c r="M8" s="30"/>
      <c r="N8" s="30"/>
      <c r="O8" s="31"/>
      <c r="P8" s="26"/>
      <c r="Q8" s="26"/>
      <c r="R8" s="26"/>
      <c r="S8" s="26"/>
      <c r="T8" s="26"/>
    </row>
    <row r="9" spans="1:20" ht="30" customHeight="1" x14ac:dyDescent="0.25">
      <c r="A9" s="26"/>
      <c r="B9" s="36" t="s">
        <v>65</v>
      </c>
      <c r="C9" s="37" t="s">
        <v>61</v>
      </c>
      <c r="D9" s="37" t="s">
        <v>62</v>
      </c>
      <c r="E9" s="37" t="s">
        <v>63</v>
      </c>
      <c r="F9" s="30"/>
      <c r="G9" s="30"/>
      <c r="H9" s="30"/>
      <c r="I9" s="30"/>
      <c r="J9" s="30"/>
      <c r="K9" s="30"/>
      <c r="L9" s="30"/>
      <c r="M9" s="30"/>
      <c r="N9" s="30"/>
      <c r="O9" s="31"/>
      <c r="P9" s="26"/>
      <c r="Q9" s="26"/>
      <c r="R9" s="26"/>
      <c r="S9" s="26"/>
      <c r="T9" s="26"/>
    </row>
    <row r="10" spans="1:20" ht="30" customHeight="1" x14ac:dyDescent="0.25">
      <c r="A10" s="26"/>
      <c r="B10" s="38" t="s">
        <v>102</v>
      </c>
      <c r="C10" s="41" t="s">
        <v>103</v>
      </c>
      <c r="D10" s="39"/>
      <c r="E10" s="40"/>
      <c r="F10" s="30"/>
      <c r="G10" s="30"/>
      <c r="H10" s="30"/>
      <c r="I10" s="30"/>
      <c r="J10" s="30"/>
      <c r="K10" s="30"/>
      <c r="L10" s="30"/>
      <c r="M10" s="30"/>
      <c r="N10" s="30"/>
      <c r="O10" s="31"/>
      <c r="P10" s="26"/>
      <c r="Q10" s="26"/>
      <c r="R10" s="26"/>
      <c r="S10" s="26"/>
      <c r="T10" s="26"/>
    </row>
    <row r="11" spans="1:20" ht="30" customHeight="1" x14ac:dyDescent="0.25">
      <c r="A11" s="26"/>
      <c r="B11" s="143" t="s">
        <v>17</v>
      </c>
      <c r="C11" s="145" t="s">
        <v>18</v>
      </c>
      <c r="D11" s="145"/>
      <c r="E11" s="146"/>
      <c r="F11" s="30"/>
      <c r="G11" s="30"/>
      <c r="H11" s="30"/>
      <c r="I11" s="30"/>
      <c r="J11" s="30"/>
      <c r="K11" s="30"/>
      <c r="L11" s="30"/>
      <c r="M11" s="30"/>
      <c r="N11" s="30"/>
      <c r="O11" s="31"/>
      <c r="P11" s="26"/>
      <c r="Q11" s="26"/>
      <c r="R11" s="26"/>
      <c r="S11" s="26"/>
      <c r="T11" s="26"/>
    </row>
    <row r="12" spans="1:20" ht="30" customHeight="1" x14ac:dyDescent="0.25">
      <c r="A12" s="26"/>
      <c r="B12" s="38" t="s">
        <v>15</v>
      </c>
      <c r="C12" s="41" t="s">
        <v>104</v>
      </c>
      <c r="D12" s="41" t="s">
        <v>16</v>
      </c>
      <c r="E12" s="42"/>
      <c r="F12" s="30"/>
      <c r="G12" s="30"/>
      <c r="H12" s="30"/>
      <c r="I12" s="30"/>
      <c r="J12" s="30"/>
      <c r="K12" s="30"/>
      <c r="L12" s="30"/>
      <c r="M12" s="30"/>
      <c r="N12" s="30"/>
      <c r="O12" s="31"/>
      <c r="P12" s="26"/>
      <c r="Q12" s="26"/>
      <c r="R12" s="26"/>
      <c r="S12" s="26"/>
      <c r="T12" s="26"/>
    </row>
    <row r="13" spans="1:20" ht="30" customHeight="1" x14ac:dyDescent="0.25">
      <c r="A13" s="26"/>
      <c r="B13" s="143" t="s">
        <v>81</v>
      </c>
      <c r="C13" s="145" t="s">
        <v>68</v>
      </c>
      <c r="D13" s="145"/>
      <c r="E13" s="146"/>
      <c r="F13" s="30"/>
      <c r="G13" s="30"/>
      <c r="H13" s="30"/>
      <c r="I13" s="30"/>
      <c r="J13" s="30"/>
      <c r="K13" s="30"/>
      <c r="L13" s="30"/>
      <c r="M13" s="30"/>
      <c r="N13" s="30"/>
      <c r="O13" s="31"/>
      <c r="P13" s="26"/>
      <c r="Q13" s="26"/>
      <c r="R13" s="26"/>
      <c r="S13" s="26"/>
      <c r="T13" s="26"/>
    </row>
    <row r="14" spans="1:20" ht="30" customHeight="1" x14ac:dyDescent="0.25">
      <c r="A14" s="26"/>
      <c r="B14" s="38" t="s">
        <v>82</v>
      </c>
      <c r="C14" s="39" t="s">
        <v>69</v>
      </c>
      <c r="D14" s="39"/>
      <c r="E14" s="40"/>
      <c r="F14" s="30"/>
      <c r="G14" s="30"/>
      <c r="H14" s="30"/>
      <c r="I14" s="30"/>
      <c r="J14" s="30"/>
      <c r="K14" s="30"/>
      <c r="L14" s="30"/>
      <c r="M14" s="30"/>
      <c r="N14" s="30"/>
      <c r="O14" s="31"/>
      <c r="P14" s="26"/>
      <c r="Q14" s="26"/>
      <c r="R14" s="26"/>
      <c r="S14" s="26"/>
      <c r="T14" s="26"/>
    </row>
    <row r="15" spans="1:20" ht="30" customHeight="1" x14ac:dyDescent="0.25">
      <c r="A15" s="26"/>
      <c r="B15" s="143" t="s">
        <v>80</v>
      </c>
      <c r="C15" s="145" t="s">
        <v>70</v>
      </c>
      <c r="D15" s="145"/>
      <c r="E15" s="146"/>
      <c r="F15" s="30"/>
      <c r="G15" s="30"/>
      <c r="H15" s="30"/>
      <c r="I15" s="30"/>
      <c r="J15" s="30"/>
      <c r="K15" s="30"/>
      <c r="L15" s="30"/>
      <c r="M15" s="30"/>
      <c r="N15" s="30"/>
      <c r="O15" s="31"/>
      <c r="P15" s="26"/>
      <c r="Q15" s="26"/>
      <c r="R15" s="26"/>
      <c r="S15" s="26"/>
      <c r="T15" s="26"/>
    </row>
    <row r="16" spans="1:20" ht="30" customHeight="1" x14ac:dyDescent="0.25">
      <c r="A16" s="26"/>
      <c r="B16" s="38" t="s">
        <v>12</v>
      </c>
      <c r="C16" s="39" t="s">
        <v>13</v>
      </c>
      <c r="D16" s="39" t="s">
        <v>14</v>
      </c>
      <c r="E16" s="40"/>
      <c r="F16" s="30"/>
      <c r="G16" s="30"/>
      <c r="H16" s="30"/>
      <c r="I16" s="30"/>
      <c r="J16" s="30"/>
      <c r="K16" s="30"/>
      <c r="L16" s="30"/>
      <c r="M16" s="30"/>
      <c r="N16" s="30"/>
      <c r="O16" s="31"/>
      <c r="P16" s="26"/>
      <c r="Q16" s="26"/>
      <c r="R16" s="26"/>
      <c r="S16" s="26"/>
      <c r="T16" s="26"/>
    </row>
    <row r="17" spans="1:20" ht="24.95" customHeight="1" x14ac:dyDescent="0.25">
      <c r="A17" s="26"/>
      <c r="C17" s="6"/>
      <c r="D17" s="6"/>
      <c r="E17" s="6"/>
      <c r="F17" s="32"/>
      <c r="G17" s="32"/>
      <c r="H17" s="32"/>
      <c r="I17" s="32"/>
      <c r="J17" s="32"/>
      <c r="K17" s="32"/>
      <c r="L17" s="32"/>
      <c r="M17" s="32"/>
      <c r="N17" s="32"/>
      <c r="O17" s="33"/>
      <c r="P17" s="26"/>
      <c r="Q17" s="26"/>
      <c r="R17" s="26"/>
      <c r="S17" s="26"/>
      <c r="T17" s="26"/>
    </row>
    <row r="18" spans="1:20" ht="30" customHeight="1" x14ac:dyDescent="0.25">
      <c r="A18" s="26"/>
      <c r="B18" s="36" t="s">
        <v>66</v>
      </c>
      <c r="C18" s="37" t="s">
        <v>61</v>
      </c>
      <c r="D18" s="37" t="s">
        <v>62</v>
      </c>
      <c r="E18" s="37" t="s">
        <v>63</v>
      </c>
      <c r="F18" s="34"/>
      <c r="G18" s="34"/>
      <c r="H18" s="34"/>
      <c r="I18" s="34"/>
      <c r="J18" s="34"/>
      <c r="K18" s="34"/>
      <c r="L18" s="34"/>
      <c r="M18" s="34"/>
      <c r="N18" s="34"/>
      <c r="O18" s="33"/>
      <c r="P18" s="26"/>
      <c r="Q18" s="26"/>
      <c r="R18" s="26"/>
      <c r="S18" s="26"/>
      <c r="T18" s="26"/>
    </row>
    <row r="19" spans="1:20" ht="30" customHeight="1" x14ac:dyDescent="0.25">
      <c r="A19" s="26"/>
      <c r="B19" s="38" t="s">
        <v>1</v>
      </c>
      <c r="C19" s="39" t="s">
        <v>32</v>
      </c>
      <c r="D19" s="39"/>
      <c r="E19" s="40"/>
      <c r="F19" s="30"/>
      <c r="G19" s="30"/>
      <c r="H19" s="30"/>
      <c r="I19" s="30"/>
      <c r="J19" s="30"/>
      <c r="K19" s="30"/>
      <c r="L19" s="30"/>
      <c r="M19" s="30"/>
      <c r="N19" s="30"/>
      <c r="O19" s="33"/>
      <c r="P19" s="26"/>
      <c r="Q19" s="26"/>
      <c r="R19" s="26"/>
      <c r="S19" s="26"/>
      <c r="T19" s="26"/>
    </row>
    <row r="20" spans="1:20" ht="30" customHeight="1" x14ac:dyDescent="0.25">
      <c r="A20" s="26"/>
      <c r="B20" s="143" t="s">
        <v>2</v>
      </c>
      <c r="C20" s="145" t="s">
        <v>33</v>
      </c>
      <c r="D20" s="145"/>
      <c r="E20" s="146"/>
      <c r="F20" s="30"/>
      <c r="G20" s="30"/>
      <c r="H20" s="30"/>
      <c r="I20" s="30"/>
      <c r="J20" s="30"/>
      <c r="K20" s="30"/>
      <c r="L20" s="30"/>
      <c r="M20" s="30"/>
      <c r="N20" s="30"/>
      <c r="O20" s="33"/>
      <c r="P20" s="26"/>
      <c r="Q20" s="26"/>
      <c r="R20" s="26"/>
      <c r="S20" s="26"/>
      <c r="T20" s="26"/>
    </row>
    <row r="21" spans="1:20" ht="30" customHeight="1" x14ac:dyDescent="0.25">
      <c r="A21" s="26"/>
      <c r="B21" s="38" t="s">
        <v>31</v>
      </c>
      <c r="C21" s="39" t="s">
        <v>34</v>
      </c>
      <c r="D21" s="39"/>
      <c r="E21" s="40"/>
      <c r="F21" s="30"/>
      <c r="G21" s="30"/>
      <c r="H21" s="30"/>
      <c r="I21" s="30"/>
      <c r="J21" s="30"/>
      <c r="K21" s="30"/>
      <c r="L21" s="30"/>
      <c r="M21" s="30"/>
      <c r="N21" s="30"/>
      <c r="O21" s="33"/>
      <c r="P21" s="26"/>
      <c r="Q21" s="26"/>
      <c r="R21" s="26"/>
      <c r="S21" s="26"/>
      <c r="T21" s="26"/>
    </row>
    <row r="22" spans="1:20" ht="30" customHeight="1" x14ac:dyDescent="0.25">
      <c r="A22" s="26"/>
      <c r="B22" s="143" t="s">
        <v>3</v>
      </c>
      <c r="C22" s="145" t="s">
        <v>35</v>
      </c>
      <c r="D22" s="145"/>
      <c r="E22" s="146"/>
      <c r="F22" s="30"/>
      <c r="G22" s="30"/>
      <c r="H22" s="30"/>
      <c r="I22" s="30"/>
      <c r="J22" s="30"/>
      <c r="K22" s="30"/>
      <c r="L22" s="30"/>
      <c r="M22" s="30"/>
      <c r="N22" s="30"/>
      <c r="O22" s="33"/>
      <c r="P22" s="26"/>
      <c r="Q22" s="26"/>
      <c r="R22" s="26"/>
      <c r="S22" s="26"/>
      <c r="T22" s="26"/>
    </row>
    <row r="23" spans="1:20" ht="24.95" customHeight="1" x14ac:dyDescent="0.25">
      <c r="A23" s="26"/>
      <c r="B23" s="38"/>
      <c r="C23" s="39"/>
      <c r="D23" s="39"/>
      <c r="E23" s="40"/>
      <c r="F23" s="30"/>
      <c r="G23" s="30"/>
      <c r="H23" s="30"/>
      <c r="I23" s="30"/>
      <c r="J23" s="30"/>
      <c r="K23" s="30"/>
      <c r="L23" s="30"/>
      <c r="M23" s="30"/>
      <c r="N23" s="30"/>
      <c r="O23" s="33"/>
      <c r="P23" s="26"/>
      <c r="Q23" s="26"/>
      <c r="R23" s="26"/>
      <c r="S23" s="26"/>
      <c r="T23" s="26"/>
    </row>
    <row r="24" spans="1:20" ht="30" customHeight="1" x14ac:dyDescent="0.25">
      <c r="A24" s="26"/>
      <c r="B24" s="36" t="s">
        <v>67</v>
      </c>
      <c r="C24" s="37" t="s">
        <v>61</v>
      </c>
      <c r="D24" s="37" t="s">
        <v>62</v>
      </c>
      <c r="E24" s="37" t="s">
        <v>63</v>
      </c>
      <c r="F24" s="28"/>
      <c r="G24" s="28"/>
      <c r="H24" s="28"/>
      <c r="I24" s="28"/>
      <c r="J24" s="28"/>
      <c r="K24" s="28"/>
      <c r="L24" s="28"/>
      <c r="M24" s="28"/>
      <c r="N24" s="28"/>
      <c r="O24" s="31"/>
      <c r="P24" s="26"/>
      <c r="Q24" s="26"/>
      <c r="R24" s="26"/>
      <c r="S24" s="26"/>
      <c r="T24" s="26"/>
    </row>
    <row r="25" spans="1:20" ht="34.5" x14ac:dyDescent="0.25">
      <c r="A25" s="26"/>
      <c r="B25" s="38" t="s">
        <v>84</v>
      </c>
      <c r="C25" s="43" t="s">
        <v>41</v>
      </c>
      <c r="D25" s="43" t="s">
        <v>38</v>
      </c>
      <c r="E25" s="44"/>
      <c r="F25" s="247"/>
      <c r="G25" s="247"/>
      <c r="H25" s="247"/>
      <c r="I25" s="35"/>
      <c r="J25" s="35"/>
      <c r="K25" s="35"/>
      <c r="L25" s="35"/>
      <c r="M25" s="35"/>
      <c r="N25" s="35"/>
      <c r="O25" s="33"/>
      <c r="P25" s="26"/>
      <c r="Q25" s="26"/>
      <c r="R25" s="26"/>
      <c r="S25" s="26"/>
      <c r="T25" s="26"/>
    </row>
    <row r="26" spans="1:20" ht="30" customHeight="1" x14ac:dyDescent="0.25">
      <c r="A26" s="26"/>
      <c r="B26" s="143" t="s">
        <v>36</v>
      </c>
      <c r="C26" s="147" t="s">
        <v>39</v>
      </c>
      <c r="D26" s="147"/>
      <c r="E26" s="148"/>
      <c r="F26" s="247"/>
      <c r="G26" s="247"/>
      <c r="H26" s="247"/>
      <c r="I26" s="35"/>
      <c r="J26" s="35"/>
      <c r="K26" s="35"/>
      <c r="L26" s="35"/>
      <c r="M26" s="35"/>
      <c r="N26" s="35"/>
      <c r="O26" s="33"/>
      <c r="P26" s="26"/>
      <c r="Q26" s="26"/>
      <c r="R26" s="26"/>
      <c r="S26" s="26"/>
      <c r="T26" s="26"/>
    </row>
    <row r="27" spans="1:20" ht="30" customHeight="1" x14ac:dyDescent="0.25">
      <c r="A27" s="26"/>
      <c r="B27" s="38" t="s">
        <v>37</v>
      </c>
      <c r="C27" s="43" t="s">
        <v>40</v>
      </c>
      <c r="D27" s="45"/>
      <c r="E27" s="44"/>
      <c r="F27" s="247"/>
      <c r="G27" s="247"/>
      <c r="H27" s="247"/>
      <c r="I27" s="35"/>
      <c r="J27" s="35"/>
      <c r="K27" s="35"/>
      <c r="L27" s="35"/>
      <c r="M27" s="35"/>
      <c r="N27" s="35"/>
      <c r="O27" s="29"/>
      <c r="P27" s="26"/>
      <c r="Q27" s="26"/>
      <c r="R27" s="26"/>
      <c r="S27" s="26"/>
      <c r="T27" s="26"/>
    </row>
    <row r="28" spans="1:20" ht="24.95" customHeight="1" x14ac:dyDescent="0.25">
      <c r="A28" s="26"/>
      <c r="B28" s="38"/>
      <c r="C28" s="43"/>
      <c r="D28" s="45"/>
      <c r="E28" s="44"/>
      <c r="F28" s="33"/>
      <c r="G28" s="33"/>
      <c r="H28" s="33"/>
      <c r="I28" s="35"/>
      <c r="J28" s="35"/>
      <c r="K28" s="35"/>
      <c r="L28" s="35"/>
      <c r="M28" s="35"/>
      <c r="N28" s="35"/>
      <c r="O28" s="29"/>
      <c r="P28" s="26"/>
      <c r="Q28" s="26"/>
      <c r="R28" s="26"/>
      <c r="S28" s="26"/>
      <c r="T28" s="26"/>
    </row>
    <row r="29" spans="1:20" ht="30" customHeight="1" x14ac:dyDescent="0.25">
      <c r="A29" s="26"/>
      <c r="B29" s="36" t="s">
        <v>3</v>
      </c>
      <c r="C29" s="37" t="s">
        <v>61</v>
      </c>
      <c r="D29" s="37" t="s">
        <v>62</v>
      </c>
      <c r="E29" s="37" t="s">
        <v>63</v>
      </c>
      <c r="F29" s="247"/>
      <c r="G29" s="247"/>
      <c r="H29" s="247"/>
      <c r="I29" s="35"/>
      <c r="J29" s="35"/>
      <c r="K29" s="35"/>
      <c r="L29" s="35"/>
      <c r="M29" s="35"/>
      <c r="N29" s="35"/>
      <c r="O29" s="29"/>
      <c r="P29" s="26"/>
      <c r="Q29" s="26"/>
      <c r="R29" s="26"/>
      <c r="S29" s="26"/>
      <c r="T29" s="26"/>
    </row>
    <row r="30" spans="1:20" ht="51.95" customHeight="1" x14ac:dyDescent="0.25">
      <c r="A30" s="26"/>
      <c r="B30" s="38" t="s">
        <v>43</v>
      </c>
      <c r="C30" s="41" t="s">
        <v>42</v>
      </c>
      <c r="D30" s="44" t="s">
        <v>72</v>
      </c>
      <c r="E30" s="44" t="s">
        <v>105</v>
      </c>
      <c r="F30" s="28"/>
      <c r="G30" s="28"/>
      <c r="H30" s="28"/>
      <c r="I30" s="28"/>
      <c r="J30" s="28"/>
      <c r="K30" s="28"/>
      <c r="L30" s="28"/>
      <c r="M30" s="28"/>
      <c r="N30" s="28"/>
      <c r="O30" s="26"/>
      <c r="P30" s="26"/>
      <c r="Q30" s="26"/>
      <c r="R30" s="26"/>
      <c r="S30" s="26"/>
      <c r="T30" s="26"/>
    </row>
    <row r="31" spans="1:20" ht="51.75" x14ac:dyDescent="0.25">
      <c r="A31" s="26"/>
      <c r="B31" s="143" t="s">
        <v>48</v>
      </c>
      <c r="C31" s="144" t="s">
        <v>64</v>
      </c>
      <c r="D31" s="147" t="s">
        <v>73</v>
      </c>
      <c r="E31" s="148" t="s">
        <v>74</v>
      </c>
      <c r="F31" s="28"/>
      <c r="G31" s="28"/>
      <c r="H31" s="28"/>
      <c r="I31" s="28"/>
      <c r="J31" s="28"/>
      <c r="K31" s="28"/>
      <c r="L31" s="28"/>
      <c r="M31" s="28"/>
      <c r="N31" s="28"/>
      <c r="O31" s="26"/>
      <c r="P31" s="26"/>
      <c r="Q31" s="26"/>
      <c r="R31" s="26"/>
      <c r="S31" s="26"/>
      <c r="T31" s="26"/>
    </row>
    <row r="32" spans="1:20" ht="51.75" x14ac:dyDescent="0.25">
      <c r="A32" s="26"/>
      <c r="B32" s="38" t="s">
        <v>44</v>
      </c>
      <c r="C32" s="41" t="s">
        <v>45</v>
      </c>
      <c r="D32" s="41" t="s">
        <v>46</v>
      </c>
      <c r="E32" s="44"/>
      <c r="F32" s="28"/>
      <c r="G32" s="28"/>
      <c r="H32" s="28"/>
      <c r="I32" s="28"/>
      <c r="J32" s="28"/>
      <c r="K32" s="28"/>
      <c r="L32" s="28"/>
      <c r="M32" s="28"/>
      <c r="N32" s="28"/>
      <c r="O32" s="26"/>
      <c r="P32" s="26"/>
      <c r="Q32" s="26"/>
      <c r="R32" s="26"/>
      <c r="S32" s="26"/>
      <c r="T32" s="26"/>
    </row>
    <row r="33" spans="1:20" ht="51.95" customHeight="1" x14ac:dyDescent="0.25">
      <c r="A33" s="26"/>
      <c r="B33" s="143" t="s">
        <v>3</v>
      </c>
      <c r="C33" s="144" t="s">
        <v>47</v>
      </c>
      <c r="D33" s="148"/>
      <c r="E33" s="148"/>
      <c r="F33" s="28"/>
      <c r="G33" s="28"/>
      <c r="H33" s="28"/>
      <c r="I33" s="28"/>
      <c r="J33" s="28"/>
      <c r="K33" s="28"/>
      <c r="L33" s="28"/>
      <c r="M33" s="28"/>
      <c r="N33" s="28"/>
      <c r="O33" s="26"/>
      <c r="P33" s="26"/>
      <c r="Q33" s="26"/>
      <c r="R33" s="26"/>
      <c r="S33" s="26"/>
      <c r="T33" s="26"/>
    </row>
    <row r="34" spans="1:20" ht="26.1" hidden="1" customHeight="1" x14ac:dyDescent="0.25">
      <c r="A34" s="26"/>
      <c r="B34" s="46"/>
      <c r="C34" s="47"/>
      <c r="D34" s="47"/>
      <c r="E34" s="47"/>
      <c r="F34" s="26"/>
      <c r="G34" s="26"/>
      <c r="H34" s="26"/>
      <c r="I34" s="26"/>
      <c r="J34" s="26"/>
      <c r="K34" s="26"/>
      <c r="L34" s="26"/>
      <c r="M34" s="26"/>
      <c r="N34" s="26"/>
      <c r="O34" s="26"/>
      <c r="P34" s="26"/>
      <c r="Q34" s="26"/>
      <c r="R34" s="26"/>
      <c r="S34" s="26"/>
      <c r="T34" s="26"/>
    </row>
    <row r="35" spans="1:20" ht="26.1" hidden="1" customHeight="1" x14ac:dyDescent="0.25">
      <c r="A35" s="26"/>
      <c r="B35" s="46"/>
      <c r="C35" s="47"/>
      <c r="D35" s="47"/>
      <c r="E35" s="47"/>
      <c r="F35" s="26"/>
      <c r="G35" s="26"/>
      <c r="H35" s="26"/>
      <c r="I35" s="26"/>
      <c r="J35" s="26"/>
      <c r="K35" s="26"/>
      <c r="L35" s="26"/>
      <c r="M35" s="26"/>
      <c r="N35" s="26"/>
      <c r="O35" s="26"/>
      <c r="P35" s="26"/>
      <c r="Q35" s="26"/>
      <c r="R35" s="26"/>
      <c r="S35" s="26"/>
      <c r="T35" s="26"/>
    </row>
    <row r="36" spans="1:20" ht="26.1" hidden="1" customHeight="1" x14ac:dyDescent="0.25">
      <c r="A36" s="26"/>
      <c r="B36" s="48"/>
      <c r="C36" s="47"/>
      <c r="D36" s="47"/>
      <c r="E36" s="47"/>
      <c r="F36" s="26"/>
      <c r="G36" s="26"/>
      <c r="H36" s="26"/>
      <c r="I36" s="26"/>
      <c r="J36" s="26"/>
      <c r="K36" s="26"/>
      <c r="L36" s="26"/>
      <c r="M36" s="26"/>
      <c r="N36" s="26"/>
      <c r="O36" s="26"/>
      <c r="P36" s="26"/>
      <c r="Q36" s="26"/>
      <c r="R36" s="26"/>
      <c r="S36" s="26"/>
      <c r="T36" s="26"/>
    </row>
    <row r="37" spans="1:20" ht="26.1" hidden="1" customHeight="1" x14ac:dyDescent="0.25">
      <c r="A37" s="26"/>
      <c r="B37" s="48"/>
      <c r="C37" s="47"/>
      <c r="D37" s="47"/>
      <c r="E37" s="47"/>
      <c r="F37" s="26"/>
      <c r="G37" s="26"/>
      <c r="H37" s="26"/>
      <c r="I37" s="26"/>
      <c r="J37" s="26"/>
      <c r="K37" s="26"/>
      <c r="L37" s="26"/>
      <c r="M37" s="26"/>
      <c r="N37" s="26"/>
      <c r="O37" s="26"/>
      <c r="P37" s="26"/>
      <c r="Q37" s="26"/>
      <c r="R37" s="26"/>
      <c r="S37" s="26"/>
      <c r="T37" s="26"/>
    </row>
    <row r="38" spans="1:20" ht="26.1" hidden="1" customHeight="1" x14ac:dyDescent="0.25">
      <c r="A38" s="26"/>
      <c r="B38" s="48"/>
      <c r="C38" s="47"/>
      <c r="D38" s="47"/>
      <c r="E38" s="47"/>
      <c r="F38" s="26"/>
      <c r="G38" s="26"/>
      <c r="H38" s="26"/>
      <c r="I38" s="26"/>
      <c r="J38" s="26"/>
      <c r="K38" s="26"/>
      <c r="L38" s="26"/>
      <c r="M38" s="26"/>
      <c r="N38" s="26"/>
      <c r="O38" s="26"/>
      <c r="P38" s="26"/>
      <c r="Q38" s="26"/>
      <c r="R38" s="26"/>
      <c r="S38" s="26"/>
      <c r="T38" s="26"/>
    </row>
    <row r="39" spans="1:20" hidden="1" x14ac:dyDescent="0.25">
      <c r="A39" s="26"/>
      <c r="B39" s="48"/>
      <c r="C39" s="47"/>
      <c r="D39" s="47"/>
      <c r="E39" s="47"/>
      <c r="F39" s="26"/>
      <c r="G39" s="26"/>
      <c r="H39" s="26"/>
      <c r="I39" s="26"/>
      <c r="J39" s="26"/>
      <c r="K39" s="26"/>
      <c r="L39" s="26"/>
      <c r="M39" s="26"/>
      <c r="N39" s="26"/>
      <c r="O39" s="26"/>
      <c r="P39" s="26"/>
      <c r="Q39" s="26"/>
      <c r="R39" s="26"/>
      <c r="S39" s="26"/>
      <c r="T39" s="26"/>
    </row>
    <row r="40" spans="1:20" hidden="1" x14ac:dyDescent="0.25">
      <c r="A40" s="26"/>
      <c r="B40" s="48"/>
      <c r="C40" s="47"/>
      <c r="D40" s="47"/>
      <c r="E40" s="47"/>
      <c r="F40" s="26"/>
      <c r="G40" s="26"/>
      <c r="H40" s="26"/>
      <c r="I40" s="26"/>
      <c r="J40" s="26"/>
      <c r="K40" s="26"/>
      <c r="L40" s="26"/>
      <c r="M40" s="26"/>
      <c r="N40" s="26"/>
      <c r="O40" s="26"/>
      <c r="P40" s="26"/>
      <c r="Q40" s="26"/>
      <c r="R40" s="26"/>
      <c r="S40" s="26"/>
      <c r="T40" s="26"/>
    </row>
    <row r="41" spans="1:20" hidden="1" x14ac:dyDescent="0.25">
      <c r="A41" s="26"/>
      <c r="B41" s="48"/>
      <c r="C41" s="47"/>
      <c r="D41" s="47"/>
      <c r="E41" s="47"/>
      <c r="F41" s="26"/>
      <c r="G41" s="26"/>
      <c r="H41" s="26"/>
      <c r="I41" s="26"/>
      <c r="J41" s="26"/>
      <c r="K41" s="26"/>
      <c r="L41" s="26"/>
      <c r="M41" s="26"/>
      <c r="N41" s="26"/>
      <c r="O41" s="26"/>
      <c r="P41" s="26"/>
      <c r="Q41" s="26"/>
      <c r="R41" s="26"/>
      <c r="S41" s="26"/>
      <c r="T41" s="26"/>
    </row>
    <row r="42" spans="1:20" hidden="1" x14ac:dyDescent="0.25">
      <c r="A42" s="26"/>
      <c r="B42" s="48"/>
      <c r="C42" s="47"/>
      <c r="D42" s="47"/>
      <c r="E42" s="47"/>
      <c r="F42" s="26"/>
      <c r="G42" s="26"/>
      <c r="H42" s="26"/>
      <c r="I42" s="26"/>
      <c r="J42" s="26"/>
      <c r="K42" s="26"/>
      <c r="L42" s="26"/>
      <c r="M42" s="26"/>
      <c r="N42" s="26"/>
      <c r="O42" s="26"/>
      <c r="P42" s="26"/>
      <c r="Q42" s="26"/>
      <c r="R42" s="26"/>
      <c r="S42" s="26"/>
      <c r="T42" s="26"/>
    </row>
    <row r="43" spans="1:20" hidden="1" x14ac:dyDescent="0.25">
      <c r="A43" s="26"/>
      <c r="B43" s="48"/>
      <c r="C43" s="47"/>
      <c r="D43" s="47"/>
      <c r="E43" s="47"/>
      <c r="F43" s="26"/>
      <c r="G43" s="26"/>
      <c r="H43" s="26"/>
      <c r="I43" s="26"/>
      <c r="J43" s="26"/>
      <c r="K43" s="26"/>
      <c r="L43" s="26"/>
      <c r="M43" s="26"/>
      <c r="N43" s="26"/>
      <c r="O43" s="26"/>
      <c r="P43" s="26"/>
      <c r="Q43" s="26"/>
      <c r="R43" s="26"/>
      <c r="S43" s="26"/>
      <c r="T43" s="26"/>
    </row>
    <row r="44" spans="1:20" hidden="1" x14ac:dyDescent="0.25">
      <c r="A44" s="26"/>
      <c r="B44" s="48"/>
      <c r="C44" s="47"/>
      <c r="D44" s="47"/>
      <c r="E44" s="47"/>
      <c r="F44" s="26"/>
      <c r="G44" s="26"/>
      <c r="H44" s="26"/>
      <c r="I44" s="26"/>
      <c r="J44" s="26"/>
      <c r="K44" s="26"/>
      <c r="L44" s="26"/>
      <c r="M44" s="26"/>
      <c r="N44" s="26"/>
      <c r="O44" s="26"/>
      <c r="P44" s="26"/>
      <c r="Q44" s="26"/>
      <c r="R44" s="26"/>
      <c r="S44" s="26"/>
      <c r="T44" s="26"/>
    </row>
    <row r="45" spans="1:20" hidden="1" x14ac:dyDescent="0.25">
      <c r="A45" s="26"/>
      <c r="B45" s="48"/>
      <c r="C45" s="47"/>
      <c r="D45" s="47"/>
      <c r="E45" s="47"/>
      <c r="F45" s="26"/>
      <c r="G45" s="26"/>
      <c r="H45" s="26"/>
      <c r="I45" s="26"/>
      <c r="J45" s="26"/>
      <c r="K45" s="26"/>
      <c r="L45" s="26"/>
      <c r="M45" s="26"/>
      <c r="N45" s="26"/>
      <c r="O45" s="26"/>
      <c r="P45" s="26"/>
      <c r="Q45" s="26"/>
      <c r="R45" s="26"/>
      <c r="S45" s="26"/>
      <c r="T45" s="26"/>
    </row>
    <row r="46" spans="1:20" hidden="1" x14ac:dyDescent="0.25">
      <c r="A46" s="26"/>
      <c r="B46" s="48"/>
      <c r="C46" s="47"/>
      <c r="D46" s="47"/>
      <c r="E46" s="47"/>
      <c r="F46" s="26"/>
      <c r="G46" s="26"/>
      <c r="H46" s="26"/>
      <c r="I46" s="26"/>
      <c r="J46" s="26"/>
      <c r="K46" s="26"/>
      <c r="L46" s="26"/>
      <c r="M46" s="26"/>
      <c r="N46" s="26"/>
      <c r="O46" s="26"/>
      <c r="P46" s="26"/>
      <c r="Q46" s="26"/>
      <c r="R46" s="26"/>
      <c r="S46" s="26"/>
      <c r="T46" s="26"/>
    </row>
    <row r="47" spans="1:20" hidden="1" x14ac:dyDescent="0.25">
      <c r="A47" s="26"/>
      <c r="B47" s="48"/>
      <c r="C47" s="47"/>
      <c r="D47" s="47"/>
      <c r="E47" s="47"/>
      <c r="F47" s="26"/>
      <c r="G47" s="26"/>
      <c r="H47" s="26"/>
      <c r="I47" s="26"/>
      <c r="J47" s="26"/>
      <c r="K47" s="26"/>
      <c r="L47" s="26"/>
      <c r="M47" s="26"/>
      <c r="N47" s="26"/>
      <c r="O47" s="26"/>
      <c r="P47" s="26"/>
      <c r="Q47" s="26"/>
      <c r="R47" s="26"/>
      <c r="S47" s="26"/>
      <c r="T47" s="26"/>
    </row>
    <row r="48" spans="1:20" hidden="1" x14ac:dyDescent="0.25">
      <c r="A48" s="26"/>
      <c r="B48" s="48"/>
      <c r="C48" s="47"/>
      <c r="D48" s="47"/>
      <c r="E48" s="47"/>
      <c r="F48" s="26"/>
      <c r="G48" s="26"/>
      <c r="H48" s="26"/>
      <c r="I48" s="26"/>
      <c r="J48" s="26"/>
      <c r="K48" s="26"/>
      <c r="L48" s="26"/>
      <c r="M48" s="26"/>
      <c r="N48" s="26"/>
      <c r="O48" s="26"/>
      <c r="P48" s="26"/>
      <c r="Q48" s="26"/>
      <c r="R48" s="26"/>
      <c r="S48" s="26"/>
      <c r="T48" s="26"/>
    </row>
    <row r="49" spans="1:20" hidden="1" x14ac:dyDescent="0.25">
      <c r="A49" s="26"/>
      <c r="B49" s="48"/>
      <c r="C49" s="47"/>
      <c r="D49" s="47"/>
      <c r="E49" s="47"/>
      <c r="F49" s="26"/>
      <c r="G49" s="26"/>
      <c r="H49" s="26"/>
      <c r="I49" s="26"/>
      <c r="J49" s="26"/>
      <c r="K49" s="26"/>
      <c r="L49" s="26"/>
      <c r="M49" s="26"/>
      <c r="N49" s="26"/>
      <c r="O49" s="26"/>
      <c r="P49" s="26"/>
      <c r="Q49" s="26"/>
      <c r="R49" s="26"/>
      <c r="S49" s="26"/>
      <c r="T49" s="26"/>
    </row>
    <row r="50" spans="1:20" hidden="1" x14ac:dyDescent="0.25">
      <c r="A50" s="26"/>
      <c r="B50" s="48"/>
      <c r="C50" s="47"/>
      <c r="D50" s="47"/>
      <c r="E50" s="47"/>
      <c r="F50" s="26"/>
      <c r="G50" s="26"/>
      <c r="H50" s="26"/>
      <c r="I50" s="26"/>
      <c r="J50" s="26"/>
      <c r="K50" s="26"/>
      <c r="L50" s="26"/>
      <c r="M50" s="26"/>
      <c r="N50" s="26"/>
      <c r="O50" s="26"/>
      <c r="P50" s="26"/>
      <c r="Q50" s="26"/>
      <c r="R50" s="26"/>
      <c r="S50" s="26"/>
      <c r="T50" s="26"/>
    </row>
    <row r="51" spans="1:20" hidden="1" x14ac:dyDescent="0.25">
      <c r="A51" s="26"/>
      <c r="B51" s="48"/>
      <c r="C51" s="47"/>
      <c r="D51" s="47"/>
      <c r="E51" s="47"/>
      <c r="F51" s="26"/>
      <c r="G51" s="26"/>
      <c r="H51" s="26"/>
      <c r="I51" s="26"/>
      <c r="J51" s="26"/>
      <c r="K51" s="26"/>
      <c r="L51" s="26"/>
      <c r="M51" s="26"/>
      <c r="N51" s="26"/>
      <c r="O51" s="26"/>
      <c r="P51" s="26"/>
      <c r="Q51" s="26"/>
      <c r="R51" s="26"/>
      <c r="S51" s="26"/>
      <c r="T51" s="26"/>
    </row>
    <row r="52" spans="1:20" hidden="1" x14ac:dyDescent="0.25">
      <c r="A52" s="26"/>
      <c r="B52" s="48"/>
      <c r="C52" s="47"/>
      <c r="D52" s="47"/>
      <c r="E52" s="47"/>
      <c r="F52" s="26"/>
      <c r="G52" s="26"/>
      <c r="H52" s="26"/>
      <c r="I52" s="26"/>
      <c r="J52" s="26"/>
      <c r="K52" s="26"/>
      <c r="L52" s="26"/>
      <c r="M52" s="26"/>
      <c r="N52" s="26"/>
      <c r="O52" s="26"/>
      <c r="P52" s="26"/>
      <c r="Q52" s="26"/>
      <c r="R52" s="26"/>
      <c r="S52" s="26"/>
      <c r="T52" s="26"/>
    </row>
    <row r="53" spans="1:20" hidden="1" x14ac:dyDescent="0.25">
      <c r="A53" s="26"/>
      <c r="B53" s="48"/>
      <c r="C53" s="47"/>
      <c r="D53" s="47"/>
      <c r="E53" s="47"/>
      <c r="F53" s="26"/>
      <c r="G53" s="26"/>
      <c r="H53" s="26"/>
      <c r="I53" s="26"/>
      <c r="J53" s="26"/>
      <c r="K53" s="26"/>
      <c r="L53" s="26"/>
      <c r="M53" s="26"/>
      <c r="N53" s="26"/>
      <c r="O53" s="26"/>
      <c r="P53" s="26"/>
      <c r="Q53" s="26"/>
      <c r="R53" s="26"/>
      <c r="S53" s="26"/>
      <c r="T53" s="26"/>
    </row>
    <row r="54" spans="1:20" hidden="1" x14ac:dyDescent="0.25">
      <c r="A54" s="26"/>
      <c r="B54" s="48"/>
      <c r="C54" s="47"/>
      <c r="D54" s="47"/>
      <c r="E54" s="47"/>
      <c r="F54" s="26"/>
      <c r="G54" s="26"/>
      <c r="H54" s="26"/>
      <c r="I54" s="26"/>
      <c r="J54" s="26"/>
      <c r="K54" s="26"/>
      <c r="L54" s="26"/>
      <c r="M54" s="26"/>
      <c r="N54" s="26"/>
      <c r="O54" s="26"/>
      <c r="P54" s="26"/>
      <c r="Q54" s="26"/>
      <c r="R54" s="26"/>
      <c r="S54" s="26"/>
      <c r="T54" s="26"/>
    </row>
    <row r="55" spans="1:20" hidden="1" x14ac:dyDescent="0.25">
      <c r="B55" s="49"/>
      <c r="C55" s="50"/>
      <c r="D55" s="50"/>
      <c r="E55" s="50"/>
      <c r="I55" s="26"/>
    </row>
    <row r="56" spans="1:20" hidden="1" x14ac:dyDescent="0.25">
      <c r="B56" s="49"/>
      <c r="C56" s="50"/>
      <c r="D56" s="50"/>
      <c r="E56" s="50"/>
    </row>
    <row r="57" spans="1:20" hidden="1" x14ac:dyDescent="0.25">
      <c r="B57" s="49"/>
      <c r="C57" s="50"/>
      <c r="D57" s="50"/>
      <c r="E57" s="50"/>
    </row>
    <row r="58" spans="1:20" hidden="1" x14ac:dyDescent="0.25">
      <c r="B58" s="49"/>
      <c r="C58" s="50"/>
      <c r="D58" s="50"/>
      <c r="E58" s="50"/>
    </row>
    <row r="59" spans="1:20" hidden="1" x14ac:dyDescent="0.25">
      <c r="B59" s="49"/>
      <c r="C59" s="50"/>
      <c r="D59" s="50"/>
      <c r="E59" s="50"/>
    </row>
    <row r="60" spans="1:20" hidden="1" x14ac:dyDescent="0.25">
      <c r="B60" s="49"/>
      <c r="C60" s="50"/>
      <c r="D60" s="50"/>
      <c r="E60" s="50"/>
    </row>
    <row r="61" spans="1:20" hidden="1" x14ac:dyDescent="0.25">
      <c r="B61" s="49"/>
      <c r="C61" s="50"/>
      <c r="D61" s="50"/>
      <c r="E61" s="50"/>
    </row>
    <row r="62" spans="1:20" hidden="1" x14ac:dyDescent="0.25">
      <c r="B62" s="49"/>
      <c r="C62" s="50"/>
      <c r="D62" s="50"/>
      <c r="E62" s="50"/>
    </row>
    <row r="63" spans="1:20" hidden="1" x14ac:dyDescent="0.25">
      <c r="B63" s="49"/>
      <c r="C63" s="50"/>
      <c r="D63" s="50"/>
      <c r="E63" s="50"/>
    </row>
    <row r="64" spans="1:20" hidden="1" x14ac:dyDescent="0.25">
      <c r="B64" s="49"/>
      <c r="C64" s="50"/>
      <c r="D64" s="50"/>
      <c r="E64" s="50"/>
    </row>
    <row r="65" x14ac:dyDescent="0.25"/>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3:Q44"/>
  <sheetViews>
    <sheetView showGridLines="0" topLeftCell="A25" workbookViewId="0">
      <selection activeCell="L44" sqref="L44"/>
    </sheetView>
  </sheetViews>
  <sheetFormatPr baseColWidth="10" defaultRowHeight="15" x14ac:dyDescent="0.25"/>
  <cols>
    <col min="1" max="1" width="38.42578125" bestFit="1" customWidth="1"/>
    <col min="2" max="12" width="11.42578125" style="179"/>
  </cols>
  <sheetData>
    <row r="3" spans="1:11" x14ac:dyDescent="0.25">
      <c r="A3" s="78" t="s">
        <v>65</v>
      </c>
      <c r="B3" s="178" t="str">
        <f>'1.FFO'!L2</f>
        <v/>
      </c>
      <c r="C3" s="178" t="str">
        <f>'1.FFO'!M2</f>
        <v/>
      </c>
      <c r="D3" s="178" t="str">
        <f>'1.FFO'!N2</f>
        <v/>
      </c>
      <c r="E3" s="178" t="str">
        <f>'1.FFO'!O2</f>
        <v/>
      </c>
      <c r="F3" s="178" t="str">
        <f>'1.FFO'!P2</f>
        <v/>
      </c>
      <c r="G3" s="182"/>
      <c r="H3" s="182"/>
      <c r="I3" s="182"/>
      <c r="J3" s="182"/>
      <c r="K3" s="182"/>
    </row>
    <row r="4" spans="1:11" x14ac:dyDescent="0.25">
      <c r="A4" s="18" t="s">
        <v>88</v>
      </c>
      <c r="B4" s="183">
        <f>'4.Valoración'!$D$8</f>
        <v>0</v>
      </c>
      <c r="C4" s="183">
        <f>'4.Valoración'!$D$8</f>
        <v>0</v>
      </c>
      <c r="D4" s="183">
        <f>'4.Valoración'!$D$8</f>
        <v>0</v>
      </c>
      <c r="E4" s="183">
        <f>'4.Valoración'!$D$8</f>
        <v>0</v>
      </c>
      <c r="F4" s="183">
        <f>'4.Valoración'!$D$8</f>
        <v>0</v>
      </c>
    </row>
    <row r="6" spans="1:11" x14ac:dyDescent="0.25">
      <c r="A6" s="78" t="s">
        <v>92</v>
      </c>
      <c r="B6" s="184" t="str">
        <f>'1.FFO'!K2</f>
        <v/>
      </c>
    </row>
    <row r="7" spans="1:11" x14ac:dyDescent="0.25">
      <c r="A7" t="s">
        <v>94</v>
      </c>
      <c r="B7" s="185">
        <f>IFERROR(SUM('3.ROIC'!$B$6:$K$6)/SUM('3.ROIC'!$B$6:$K$7),0)</f>
        <v>0</v>
      </c>
    </row>
    <row r="8" spans="1:11" x14ac:dyDescent="0.25">
      <c r="A8" t="s">
        <v>93</v>
      </c>
      <c r="B8" s="186">
        <f>IF(B7=0,0,1-B7)</f>
        <v>0</v>
      </c>
    </row>
    <row r="9" spans="1:11" x14ac:dyDescent="0.25">
      <c r="A9" t="s">
        <v>107</v>
      </c>
      <c r="B9" s="180">
        <f>SUM('3.ROIC'!B4:K5)</f>
        <v>0</v>
      </c>
    </row>
    <row r="10" spans="1:11" x14ac:dyDescent="0.25">
      <c r="A10" t="s">
        <v>113</v>
      </c>
      <c r="B10" s="180">
        <f>SUM('3.ROIC'!B5:K5)</f>
        <v>0</v>
      </c>
    </row>
    <row r="11" spans="1:11" x14ac:dyDescent="0.25">
      <c r="A11" t="s">
        <v>106</v>
      </c>
      <c r="B11" s="180">
        <f>SUM('3.ROIC'!B6:K7)</f>
        <v>0</v>
      </c>
    </row>
    <row r="12" spans="1:11" x14ac:dyDescent="0.25">
      <c r="A12" t="s">
        <v>108</v>
      </c>
      <c r="B12" s="180">
        <f>B11-B9</f>
        <v>0</v>
      </c>
    </row>
    <row r="13" spans="1:11" x14ac:dyDescent="0.25">
      <c r="A13" t="s">
        <v>110</v>
      </c>
      <c r="B13" s="180" t="e">
        <f>SUM('1.FFO'!#REF!)</f>
        <v>#REF!</v>
      </c>
    </row>
    <row r="14" spans="1:11" x14ac:dyDescent="0.25">
      <c r="A14" t="s">
        <v>109</v>
      </c>
      <c r="B14" s="180" t="e">
        <f>SUM('1.FFO'!#REF!)</f>
        <v>#REF!</v>
      </c>
    </row>
    <row r="15" spans="1:11" x14ac:dyDescent="0.25">
      <c r="A15" t="s">
        <v>111</v>
      </c>
      <c r="B15" s="186">
        <f>IFERROR(B13/B10,0)</f>
        <v>0</v>
      </c>
    </row>
    <row r="16" spans="1:11" x14ac:dyDescent="0.25">
      <c r="A16" t="s">
        <v>112</v>
      </c>
      <c r="B16" s="186" t="e">
        <f>ABS(SUM('1.FFO'!#REF!))/B11</f>
        <v>#REF!</v>
      </c>
    </row>
    <row r="17" spans="1:12" x14ac:dyDescent="0.25">
      <c r="B17" s="186"/>
    </row>
    <row r="18" spans="1:12" x14ac:dyDescent="0.25">
      <c r="A18" s="78" t="s">
        <v>96</v>
      </c>
      <c r="B18" s="178" t="str">
        <f>'1.FFO'!B2</f>
        <v/>
      </c>
      <c r="C18" s="178" t="str">
        <f>'1.FFO'!C2</f>
        <v/>
      </c>
      <c r="D18" s="178" t="str">
        <f>'1.FFO'!D2</f>
        <v/>
      </c>
      <c r="E18" s="178" t="str">
        <f>'1.FFO'!E2</f>
        <v/>
      </c>
      <c r="F18" s="178" t="str">
        <f>'1.FFO'!F2</f>
        <v/>
      </c>
      <c r="G18" s="178" t="str">
        <f>'1.FFO'!G2</f>
        <v/>
      </c>
      <c r="H18" s="178" t="str">
        <f>'1.FFO'!H2</f>
        <v/>
      </c>
      <c r="I18" s="178" t="str">
        <f>'1.FFO'!I2</f>
        <v/>
      </c>
      <c r="J18" s="178" t="str">
        <f>'1.FFO'!J2</f>
        <v/>
      </c>
      <c r="K18" s="178" t="str">
        <f>'1.FFO'!K2</f>
        <v/>
      </c>
      <c r="L18" s="193" t="s">
        <v>100</v>
      </c>
    </row>
    <row r="19" spans="1:12" x14ac:dyDescent="0.25">
      <c r="A19" t="s">
        <v>98</v>
      </c>
      <c r="B19" s="179" t="str">
        <f>IFERROR(ABS(VLOOKUP("Common &amp; Preferred Stock Dividends Paid*",'9.TIKR_CF'!$A:$K,COLUMN(B3),FALSE)),"0")</f>
        <v>0</v>
      </c>
      <c r="C19" s="179" t="str">
        <f>IFERROR(ABS(VLOOKUP("Common &amp; Preferred Stock Dividends Paid*",'9.TIKR_CF'!$A:$K,COLUMN(C3),FALSE)),"0")</f>
        <v>0</v>
      </c>
      <c r="D19" s="179" t="str">
        <f>IFERROR(ABS(VLOOKUP("Common &amp; Preferred Stock Dividends Paid*",'9.TIKR_CF'!$A:$K,COLUMN(D3),FALSE)),"0")</f>
        <v>0</v>
      </c>
      <c r="E19" s="179" t="str">
        <f>IFERROR(ABS(VLOOKUP("Common &amp; Preferred Stock Dividends Paid*",'9.TIKR_CF'!$A:$K,COLUMN(E3),FALSE)),"0")</f>
        <v>0</v>
      </c>
      <c r="F19" s="179" t="str">
        <f>IFERROR(ABS(VLOOKUP("Common &amp; Preferred Stock Dividends Paid*",'9.TIKR_CF'!$A:$K,COLUMN(F3),FALSE)),"0")</f>
        <v>0</v>
      </c>
      <c r="G19" s="179" t="str">
        <f>IFERROR(ABS(VLOOKUP("Common &amp; Preferred Stock Dividends Paid*",'9.TIKR_CF'!$A:$K,COLUMN(G3),FALSE)),"0")</f>
        <v>0</v>
      </c>
      <c r="H19" s="179" t="str">
        <f>IFERROR(ABS(VLOOKUP("Common &amp; Preferred Stock Dividends Paid*",'9.TIKR_CF'!$A:$K,COLUMN(H3),FALSE)),"0")</f>
        <v>0</v>
      </c>
      <c r="I19" s="179" t="str">
        <f>IFERROR(ABS(VLOOKUP("Common &amp; Preferred Stock Dividends Paid*",'9.TIKR_CF'!$A:$K,COLUMN(I3),FALSE)),"0")</f>
        <v>0</v>
      </c>
      <c r="J19" s="179" t="str">
        <f>IFERROR(ABS(VLOOKUP("Common &amp; Preferred Stock Dividends Paid*",'9.TIKR_CF'!$A:$K,COLUMN(J3),FALSE)),"0")</f>
        <v>0</v>
      </c>
      <c r="K19" s="179" t="str">
        <f>IFERROR(ABS(VLOOKUP("Common &amp; Preferred Stock Dividends Paid*",'9.TIKR_CF'!$A:$K,COLUMN(K3),FALSE)),"0")</f>
        <v>0</v>
      </c>
      <c r="L19" s="194">
        <f>SUM(B19:K19)</f>
        <v>0</v>
      </c>
    </row>
    <row r="20" spans="1:12" x14ac:dyDescent="0.25">
      <c r="A20" t="s">
        <v>97</v>
      </c>
      <c r="B20" s="179" t="str">
        <f>IFERROR(ABS(VLOOKUP("Repurchase of Common Stock*",'9.TIKR_CF'!$A:$K,COLUMN(B4),FALSE)),"0")</f>
        <v>0</v>
      </c>
      <c r="C20" s="179" t="str">
        <f>IFERROR(ABS(VLOOKUP("Repurchase of Common Stock*",'9.TIKR_CF'!$A:$K,COLUMN(C4),FALSE)),"0")</f>
        <v>0</v>
      </c>
      <c r="D20" s="179" t="str">
        <f>IFERROR(ABS(VLOOKUP("Repurchase of Common Stock*",'9.TIKR_CF'!$A:$K,COLUMN(D4),FALSE)),"0")</f>
        <v>0</v>
      </c>
      <c r="E20" s="179" t="str">
        <f>IFERROR(ABS(VLOOKUP("Repurchase of Common Stock*",'9.TIKR_CF'!$A:$K,COLUMN(E4),FALSE)),"0")</f>
        <v>0</v>
      </c>
      <c r="F20" s="179" t="str">
        <f>IFERROR(ABS(VLOOKUP("Repurchase of Common Stock*",'9.TIKR_CF'!$A:$K,COLUMN(F4),FALSE)),"0")</f>
        <v>0</v>
      </c>
      <c r="G20" s="179" t="str">
        <f>IFERROR(ABS(VLOOKUP("Repurchase of Common Stock*",'9.TIKR_CF'!$A:$K,COLUMN(G4),FALSE)),"0")</f>
        <v>0</v>
      </c>
      <c r="H20" s="179" t="str">
        <f>IFERROR(ABS(VLOOKUP("Repurchase of Common Stock*",'9.TIKR_CF'!$A:$K,COLUMN(H4),FALSE)),"0")</f>
        <v>0</v>
      </c>
      <c r="I20" s="179" t="str">
        <f>IFERROR(ABS(VLOOKUP("Repurchase of Common Stock*",'9.TIKR_CF'!$A:$K,COLUMN(I4),FALSE)),"0")</f>
        <v>0</v>
      </c>
      <c r="J20" s="179" t="str">
        <f>IFERROR(ABS(VLOOKUP("Repurchase of Common Stock*",'9.TIKR_CF'!$A:$K,COLUMN(J4),FALSE)),"0")</f>
        <v>0</v>
      </c>
      <c r="K20" s="179" t="str">
        <f>IFERROR(ABS(VLOOKUP("Repurchase of Common Stock*",'9.TIKR_CF'!$A:$K,COLUMN(K4),FALSE)),"0")</f>
        <v>0</v>
      </c>
      <c r="L20" s="194">
        <f>SUM(B20:K20)</f>
        <v>0</v>
      </c>
    </row>
    <row r="21" spans="1:12" x14ac:dyDescent="0.25">
      <c r="A21" t="s">
        <v>119</v>
      </c>
      <c r="B21" s="181">
        <f>ABS(IFERROR(VLOOKUP("Cash Acquisitions*",'9.TIKR_CF'!$A:$K,COLUMN(B21),FALSE),"0"))</f>
        <v>0</v>
      </c>
      <c r="C21" s="181">
        <f>ABS(IFERROR(VLOOKUP("Cash Acquisitions*",'9.TIKR_CF'!$A:$K,COLUMN(C21),FALSE),"0"))</f>
        <v>0</v>
      </c>
      <c r="D21" s="181">
        <f>ABS(IFERROR(VLOOKUP("Cash Acquisitions*",'9.TIKR_CF'!$A:$K,COLUMN(D21),FALSE),"0"))</f>
        <v>0</v>
      </c>
      <c r="E21" s="181">
        <f>ABS(IFERROR(VLOOKUP("Cash Acquisitions*",'9.TIKR_CF'!$A:$K,COLUMN(E21),FALSE),"0"))</f>
        <v>0</v>
      </c>
      <c r="F21" s="181">
        <f>ABS(IFERROR(VLOOKUP("Cash Acquisitions*",'9.TIKR_CF'!$A:$K,COLUMN(F21),FALSE),"0"))</f>
        <v>0</v>
      </c>
      <c r="G21" s="181">
        <f>ABS(IFERROR(VLOOKUP("Cash Acquisitions*",'9.TIKR_CF'!$A:$K,COLUMN(G21),FALSE),"0"))</f>
        <v>0</v>
      </c>
      <c r="H21" s="181">
        <f>ABS(IFERROR(VLOOKUP("Cash Acquisitions*",'9.TIKR_CF'!$A:$K,COLUMN(H21),FALSE),"0"))</f>
        <v>0</v>
      </c>
      <c r="I21" s="181">
        <f>ABS(IFERROR(VLOOKUP("Cash Acquisitions*",'9.TIKR_CF'!$A:$K,COLUMN(I21),FALSE),"0"))</f>
        <v>0</v>
      </c>
      <c r="J21" s="181">
        <f>ABS(IFERROR(VLOOKUP("Cash Acquisitions*",'9.TIKR_CF'!$A:$K,COLUMN(J21),FALSE),"0"))</f>
        <v>0</v>
      </c>
      <c r="K21" s="181">
        <f>ABS(IFERROR(VLOOKUP("Cash Acquisitions*",'9.TIKR_CF'!$A:$K,COLUMN(K21),FALSE),"0"))</f>
        <v>0</v>
      </c>
      <c r="L21" s="194">
        <f>SUM(B21:K21)</f>
        <v>0</v>
      </c>
    </row>
    <row r="22" spans="1:12" x14ac:dyDescent="0.25">
      <c r="A22" t="s">
        <v>115</v>
      </c>
      <c r="B22" s="179">
        <f>IFERROR(ABS(VLOOKUP("Total Debt Repaid*",'9.TIKR_CF'!$A:$K,COLUMN(B8),FALSE))-VLOOKUP("Total Debt Issued*",'9.TIKR_CF'!$A:$K,COLUMN(B8),FALSE),0)</f>
        <v>0</v>
      </c>
      <c r="C22" s="179">
        <f>IFERROR(ABS(VLOOKUP("Total Debt Repaid*",'9.TIKR_CF'!$A:$K,COLUMN(C8),FALSE))-VLOOKUP("Total Debt Issued*",'9.TIKR_CF'!$A:$K,COLUMN(C8),FALSE),0)</f>
        <v>0</v>
      </c>
      <c r="D22" s="179">
        <f>IFERROR(ABS(VLOOKUP("Total Debt Repaid*",'9.TIKR_CF'!$A:$K,COLUMN(D8),FALSE))-VLOOKUP("Total Debt Issued*",'9.TIKR_CF'!$A:$K,COLUMN(D8),FALSE),0)</f>
        <v>0</v>
      </c>
      <c r="E22" s="179">
        <f>IFERROR(ABS(VLOOKUP("Total Debt Repaid*",'9.TIKR_CF'!$A:$K,COLUMN(E8),FALSE))-VLOOKUP("Total Debt Issued*",'9.TIKR_CF'!$A:$K,COLUMN(E8),FALSE),0)</f>
        <v>0</v>
      </c>
      <c r="F22" s="179">
        <f>IFERROR(ABS(VLOOKUP("Total Debt Repaid*",'9.TIKR_CF'!$A:$K,COLUMN(F8),FALSE))-VLOOKUP("Total Debt Issued*",'9.TIKR_CF'!$A:$K,COLUMN(F8),FALSE),0)</f>
        <v>0</v>
      </c>
      <c r="G22" s="179">
        <f>IFERROR(ABS(VLOOKUP("Total Debt Repaid*",'9.TIKR_CF'!$A:$K,COLUMN(G8),FALSE))-VLOOKUP("Total Debt Issued*",'9.TIKR_CF'!$A:$K,COLUMN(G8),FALSE),0)</f>
        <v>0</v>
      </c>
      <c r="H22" s="179">
        <f>IFERROR(ABS(VLOOKUP("Total Debt Repaid*",'9.TIKR_CF'!$A:$K,COLUMN(H8),FALSE))-VLOOKUP("Total Debt Issued*",'9.TIKR_CF'!$A:$K,COLUMN(H8),FALSE),0)</f>
        <v>0</v>
      </c>
      <c r="I22" s="179">
        <f>IFERROR(ABS(VLOOKUP("Total Debt Repaid*",'9.TIKR_CF'!$A:$K,COLUMN(I8),FALSE))-VLOOKUP("Total Debt Issued*",'9.TIKR_CF'!$A:$K,COLUMN(I8),FALSE),0)</f>
        <v>0</v>
      </c>
      <c r="J22" s="179">
        <f>IFERROR(ABS(VLOOKUP("Total Debt Repaid*",'9.TIKR_CF'!$A:$K,COLUMN(J8),FALSE))-VLOOKUP("Total Debt Issued*",'9.TIKR_CF'!$A:$K,COLUMN(J8),FALSE),0)</f>
        <v>0</v>
      </c>
      <c r="K22" s="179">
        <f>IFERROR(ABS(VLOOKUP("Total Debt Repaid*",'9.TIKR_CF'!$A:$K,COLUMN(K8),FALSE))-VLOOKUP("Total Debt Issued*",'9.TIKR_CF'!$A:$K,COLUMN(K8),FALSE),0)</f>
        <v>0</v>
      </c>
      <c r="L22" s="194">
        <f>SUM(B22:K22)</f>
        <v>0</v>
      </c>
    </row>
    <row r="24" spans="1:12" x14ac:dyDescent="0.25">
      <c r="A24" s="75" t="s">
        <v>77</v>
      </c>
    </row>
    <row r="25" spans="1:12" x14ac:dyDescent="0.25">
      <c r="A25" s="78"/>
      <c r="B25" s="178" t="str">
        <f>'1.FFO'!C$2</f>
        <v/>
      </c>
      <c r="C25" s="178" t="str">
        <f>'1.FFO'!D$2</f>
        <v/>
      </c>
      <c r="D25" s="178" t="str">
        <f>'1.FFO'!E$2</f>
        <v/>
      </c>
      <c r="E25" s="178" t="str">
        <f>'1.FFO'!F$2</f>
        <v/>
      </c>
      <c r="F25" s="178" t="str">
        <f>'1.FFO'!G$2</f>
        <v/>
      </c>
      <c r="G25" s="178" t="str">
        <f>'1.FFO'!H$2</f>
        <v/>
      </c>
      <c r="H25" s="178" t="str">
        <f>'1.FFO'!I$2</f>
        <v/>
      </c>
      <c r="I25" s="178" t="str">
        <f>'1.FFO'!J$2</f>
        <v/>
      </c>
      <c r="J25" s="178" t="str">
        <f>'1.FFO'!K$2</f>
        <v/>
      </c>
      <c r="K25" s="178"/>
      <c r="L25" s="184"/>
    </row>
    <row r="26" spans="1:12" x14ac:dyDescent="0.25">
      <c r="A26" s="137" t="s">
        <v>78</v>
      </c>
      <c r="B26" s="187" t="str">
        <f>'1.FFO'!C4</f>
        <v/>
      </c>
      <c r="C26" s="187" t="str">
        <f>'1.FFO'!D4</f>
        <v/>
      </c>
      <c r="D26" s="187" t="str">
        <f>'1.FFO'!E4</f>
        <v/>
      </c>
      <c r="E26" s="187" t="str">
        <f>'1.FFO'!F4</f>
        <v/>
      </c>
      <c r="F26" s="187" t="str">
        <f>'1.FFO'!G4</f>
        <v/>
      </c>
      <c r="G26" s="187" t="str">
        <f>'1.FFO'!H4</f>
        <v/>
      </c>
      <c r="H26" s="187" t="str">
        <f>'1.FFO'!I4</f>
        <v/>
      </c>
      <c r="I26" s="187" t="str">
        <f>'1.FFO'!J4</f>
        <v/>
      </c>
      <c r="J26" s="187" t="str">
        <f>'1.FFO'!K4</f>
        <v/>
      </c>
      <c r="L26" s="187"/>
    </row>
    <row r="27" spans="1:12" x14ac:dyDescent="0.25">
      <c r="A27" s="137" t="s">
        <v>10</v>
      </c>
      <c r="B27" s="187"/>
      <c r="C27" s="187"/>
      <c r="D27" s="187"/>
      <c r="E27" s="187"/>
      <c r="F27" s="187"/>
      <c r="G27" s="187"/>
      <c r="H27" s="187"/>
      <c r="I27" s="187"/>
      <c r="J27" s="187"/>
      <c r="L27" s="187"/>
    </row>
    <row r="28" spans="1:12" x14ac:dyDescent="0.25">
      <c r="A28" s="2"/>
      <c r="B28" s="188"/>
      <c r="C28" s="188"/>
      <c r="D28" s="188"/>
      <c r="E28" s="188"/>
      <c r="F28" s="188"/>
      <c r="G28" s="188"/>
      <c r="H28" s="188"/>
      <c r="I28" s="188"/>
    </row>
    <row r="30" spans="1:12" x14ac:dyDescent="0.25">
      <c r="A30" s="78" t="s">
        <v>123</v>
      </c>
      <c r="B30" s="184" t="str">
        <f>'1.FFO'!B2</f>
        <v/>
      </c>
      <c r="C30" s="184" t="str">
        <f>'1.FFO'!C2</f>
        <v/>
      </c>
      <c r="D30" s="184" t="str">
        <f>'1.FFO'!D2</f>
        <v/>
      </c>
      <c r="E30" s="184" t="str">
        <f>'1.FFO'!E2</f>
        <v/>
      </c>
      <c r="F30" s="184" t="str">
        <f>'1.FFO'!F2</f>
        <v/>
      </c>
      <c r="G30" s="184" t="str">
        <f>'1.FFO'!G2</f>
        <v/>
      </c>
      <c r="H30" s="184" t="str">
        <f>'1.FFO'!H2</f>
        <v/>
      </c>
      <c r="I30" s="184" t="str">
        <f>'1.FFO'!I2</f>
        <v/>
      </c>
      <c r="J30" s="184" t="str">
        <f>'1.FFO'!J2</f>
        <v/>
      </c>
      <c r="K30" s="184" t="str">
        <f>'1.FFO'!K2</f>
        <v/>
      </c>
      <c r="L30" s="221" t="s">
        <v>99</v>
      </c>
    </row>
    <row r="31" spans="1:12" x14ac:dyDescent="0.25">
      <c r="A31" s="137" t="s">
        <v>124</v>
      </c>
      <c r="C31" s="179">
        <f>IF('1.FFO'!C4&lt;0,1,0)</f>
        <v>0</v>
      </c>
      <c r="D31" s="179">
        <f>IF('1.FFO'!D4&lt;0,1,0)</f>
        <v>0</v>
      </c>
      <c r="E31" s="179">
        <f>IF('1.FFO'!E4&lt;0,1,0)</f>
        <v>0</v>
      </c>
      <c r="F31" s="179">
        <f>IF('1.FFO'!F4&lt;0,1,0)</f>
        <v>0</v>
      </c>
      <c r="G31" s="179">
        <f>IF('1.FFO'!G4&lt;0,1,0)</f>
        <v>0</v>
      </c>
      <c r="H31" s="179">
        <f>IF('1.FFO'!H4&lt;0,1,0)</f>
        <v>0</v>
      </c>
      <c r="I31" s="179">
        <f>IF('1.FFO'!I4&lt;0,1,0)</f>
        <v>0</v>
      </c>
      <c r="J31" s="179">
        <f>IF('1.FFO'!J4&lt;0,1,0)</f>
        <v>0</v>
      </c>
      <c r="K31" s="179">
        <f>IF('1.FFO'!K4&lt;0,1,0)</f>
        <v>0</v>
      </c>
      <c r="L31" s="222">
        <f>SUM(B31:K31)</f>
        <v>0</v>
      </c>
    </row>
    <row r="32" spans="1:12" x14ac:dyDescent="0.25">
      <c r="A32" s="137" t="s">
        <v>140</v>
      </c>
      <c r="C32" s="179">
        <f>IF('1.FFO'!C6&lt;'1.FFO'!B6,1,0)</f>
        <v>0</v>
      </c>
      <c r="D32" s="179">
        <f>IF('1.FFO'!D6&lt;'1.FFO'!C6,1,0)</f>
        <v>0</v>
      </c>
      <c r="E32" s="179">
        <f>IF('1.FFO'!E6&lt;'1.FFO'!D6,1,0)</f>
        <v>0</v>
      </c>
      <c r="F32" s="179">
        <f>IF('1.FFO'!F6&lt;'1.FFO'!E6,1,0)</f>
        <v>0</v>
      </c>
      <c r="G32" s="179">
        <f>IF('1.FFO'!G6&lt;'1.FFO'!F6,1,0)</f>
        <v>0</v>
      </c>
      <c r="H32" s="179">
        <f>IF('1.FFO'!H6&lt;'1.FFO'!G6,1,0)</f>
        <v>0</v>
      </c>
      <c r="I32" s="179">
        <f>IF('1.FFO'!I6&lt;'1.FFO'!H6,1,0)</f>
        <v>0</v>
      </c>
      <c r="J32" s="179">
        <f>IF('1.FFO'!J6&lt;'1.FFO'!I6,1,0)</f>
        <v>0</v>
      </c>
      <c r="K32" s="179">
        <f>IF('1.FFO'!K6&lt;'1.FFO'!J6,1,0)</f>
        <v>0</v>
      </c>
      <c r="L32" s="222">
        <f>SUM(B32:K32)</f>
        <v>0</v>
      </c>
    </row>
    <row r="33" spans="1:17" x14ac:dyDescent="0.25">
      <c r="A33" s="137" t="s">
        <v>139</v>
      </c>
      <c r="B33" s="179">
        <f>IF('1.FFO'!B9&lt;0,1,0)</f>
        <v>0</v>
      </c>
      <c r="C33" s="179">
        <f>IF('1.FFO'!C9&lt;0,1,0)</f>
        <v>0</v>
      </c>
      <c r="D33" s="179">
        <f>IF('1.FFO'!D9&lt;0,1,0)</f>
        <v>0</v>
      </c>
      <c r="E33" s="179">
        <f>IF('1.FFO'!E9&lt;0,1,0)</f>
        <v>0</v>
      </c>
      <c r="F33" s="179">
        <f>IF('1.FFO'!F9&lt;0,1,0)</f>
        <v>0</v>
      </c>
      <c r="G33" s="179">
        <f>IF('1.FFO'!G9&lt;0,1,0)</f>
        <v>0</v>
      </c>
      <c r="H33" s="179">
        <f>IF('1.FFO'!H9&lt;0,1,0)</f>
        <v>0</v>
      </c>
      <c r="I33" s="179">
        <f>IF('1.FFO'!I9&lt;0,1,0)</f>
        <v>0</v>
      </c>
      <c r="J33" s="179">
        <f>IF('1.FFO'!J9&lt;0,1,0)</f>
        <v>0</v>
      </c>
      <c r="K33" s="179">
        <f>IF('1.FFO'!K9&lt;0,1,0)</f>
        <v>0</v>
      </c>
      <c r="L33" s="222">
        <f>SUM(B33:K33)</f>
        <v>0</v>
      </c>
    </row>
    <row r="34" spans="1:17" x14ac:dyDescent="0.25">
      <c r="A34" s="137" t="s">
        <v>130</v>
      </c>
      <c r="B34" s="179">
        <f>IF('3.ROIC'!B14&lt;10%,1,0)</f>
        <v>0</v>
      </c>
      <c r="C34" s="179">
        <f>IF('3.ROIC'!C14&lt;10%,1,0)</f>
        <v>0</v>
      </c>
      <c r="D34" s="179">
        <f>IF('3.ROIC'!D14&lt;10%,1,0)</f>
        <v>0</v>
      </c>
      <c r="E34" s="179">
        <f>IF('3.ROIC'!E14&lt;10%,1,0)</f>
        <v>0</v>
      </c>
      <c r="F34" s="179">
        <f>IF('3.ROIC'!F14&lt;10%,1,0)</f>
        <v>0</v>
      </c>
      <c r="G34" s="179">
        <f>IF('3.ROIC'!G14&lt;10%,1,0)</f>
        <v>0</v>
      </c>
      <c r="H34" s="179">
        <f>IF('3.ROIC'!H14&lt;10%,1,0)</f>
        <v>0</v>
      </c>
      <c r="I34" s="179">
        <f>IF('3.ROIC'!I14&lt;10%,1,0)</f>
        <v>0</v>
      </c>
      <c r="J34" s="179">
        <f>IF('3.ROIC'!J14&lt;10%,1,0)</f>
        <v>0</v>
      </c>
      <c r="K34" s="179">
        <f>IF('3.ROIC'!K14&lt;10%,1,0)</f>
        <v>0</v>
      </c>
      <c r="L34" s="222">
        <f>SUM(B34:K34)</f>
        <v>0</v>
      </c>
    </row>
    <row r="35" spans="1:17" x14ac:dyDescent="0.25">
      <c r="A35" s="137" t="s">
        <v>148</v>
      </c>
      <c r="B35" s="179">
        <f>IF('4.Valoración'!B5&lt;&gt;"",IF('4.Valoración'!B5&gt;5,1,0),0)</f>
        <v>0</v>
      </c>
      <c r="C35" s="179">
        <f>IF('4.Valoración'!C5&lt;&gt;"",IF('4.Valoración'!C5&gt;5,1,0),0)</f>
        <v>0</v>
      </c>
      <c r="D35" s="179">
        <f>IF('4.Valoración'!D5&lt;&gt;"",IF('4.Valoración'!D5&gt;5,1,0),0)</f>
        <v>0</v>
      </c>
      <c r="E35" s="179">
        <f>IF('4.Valoración'!E5&lt;&gt;"",IF('4.Valoración'!E5&gt;5,1,0),0)</f>
        <v>0</v>
      </c>
      <c r="F35" s="179">
        <f>IF('4.Valoración'!F5&lt;&gt;"",IF('4.Valoración'!F5&gt;5,1,0),0)</f>
        <v>0</v>
      </c>
      <c r="G35" s="179">
        <f>IF('4.Valoración'!G5&lt;&gt;"",IF('4.Valoración'!G5&gt;5,1,0),0)</f>
        <v>0</v>
      </c>
      <c r="H35" s="179">
        <f>IF('4.Valoración'!H5&lt;&gt;"",IF('4.Valoración'!H5&gt;5,1,0),0)</f>
        <v>0</v>
      </c>
      <c r="I35" s="179">
        <f>IF('4.Valoración'!I5&lt;&gt;"",IF('4.Valoración'!I5&gt;5,1,0),0)</f>
        <v>0</v>
      </c>
      <c r="J35" s="179">
        <f>IF('4.Valoración'!J5&lt;&gt;"",IF('4.Valoración'!J5&gt;5,1,0),0)</f>
        <v>0</v>
      </c>
      <c r="K35" s="179">
        <f>IF('4.Valoración'!K5&lt;&gt;"",IF('4.Valoración'!K5&gt;5,1,0),0)</f>
        <v>0</v>
      </c>
      <c r="L35" s="222">
        <f>SUM(B35:K35)</f>
        <v>0</v>
      </c>
    </row>
    <row r="39" spans="1:17" x14ac:dyDescent="0.25">
      <c r="A39" s="78"/>
      <c r="B39" s="178" t="str">
        <f t="shared" ref="B39:K39" si="0">B18</f>
        <v/>
      </c>
      <c r="C39" s="178" t="str">
        <f t="shared" si="0"/>
        <v/>
      </c>
      <c r="D39" s="178" t="str">
        <f t="shared" si="0"/>
        <v/>
      </c>
      <c r="E39" s="178" t="str">
        <f t="shared" si="0"/>
        <v/>
      </c>
      <c r="F39" s="178" t="str">
        <f t="shared" si="0"/>
        <v/>
      </c>
      <c r="G39" s="178" t="str">
        <f t="shared" si="0"/>
        <v/>
      </c>
      <c r="H39" s="178" t="str">
        <f t="shared" si="0"/>
        <v/>
      </c>
      <c r="I39" s="178" t="str">
        <f t="shared" si="0"/>
        <v/>
      </c>
      <c r="J39" s="178" t="str">
        <f t="shared" si="0"/>
        <v/>
      </c>
      <c r="K39" s="178" t="str">
        <f t="shared" si="0"/>
        <v/>
      </c>
      <c r="L39" s="217" t="str">
        <f>'1.FFO'!L2</f>
        <v/>
      </c>
      <c r="M39" s="217" t="str">
        <f>'1.FFO'!M2</f>
        <v/>
      </c>
      <c r="N39" s="217" t="str">
        <f>'1.FFO'!N2</f>
        <v/>
      </c>
      <c r="O39" s="217" t="str">
        <f>'1.FFO'!O2</f>
        <v/>
      </c>
      <c r="P39" s="217" t="str">
        <f>'1.FFO'!P2</f>
        <v/>
      </c>
    </row>
    <row r="40" spans="1:17" x14ac:dyDescent="0.25">
      <c r="A40" t="s">
        <v>1</v>
      </c>
      <c r="B40" s="180" t="str">
        <f>IFERROR(ABS(VLOOKUP("EBITDA*",'7.TIKR_IS'!$A:$K,COLUMN(B3),FALSE)),"0")</f>
        <v>0</v>
      </c>
      <c r="C40" s="180" t="str">
        <f>IFERROR(ABS(VLOOKUP("EBITDA*",'7.TIKR_IS'!$A:$K,COLUMN(C3),FALSE)),"0")</f>
        <v>0</v>
      </c>
      <c r="D40" s="180" t="str">
        <f>IFERROR(ABS(VLOOKUP("EBITDA*",'7.TIKR_IS'!$A:$K,COLUMN(D3),FALSE)),"0")</f>
        <v>0</v>
      </c>
      <c r="E40" s="180" t="str">
        <f>IFERROR(ABS(VLOOKUP("EBITDA*",'7.TIKR_IS'!$A:$K,COLUMN(E3),FALSE)),"0")</f>
        <v>0</v>
      </c>
      <c r="F40" s="180" t="str">
        <f>IFERROR(ABS(VLOOKUP("EBITDA*",'7.TIKR_IS'!$A:$K,COLUMN(F3),FALSE)),"0")</f>
        <v>0</v>
      </c>
      <c r="G40" s="180" t="str">
        <f>IFERROR(ABS(VLOOKUP("EBITDA*",'7.TIKR_IS'!$A:$K,COLUMN(G3),FALSE)),"0")</f>
        <v>0</v>
      </c>
      <c r="H40" s="180" t="str">
        <f>IFERROR(ABS(VLOOKUP("EBITDA*",'7.TIKR_IS'!$A:$K,COLUMN(H3),FALSE)),"0")</f>
        <v>0</v>
      </c>
      <c r="I40" s="180" t="str">
        <f>IFERROR(ABS(VLOOKUP("EBITDA*",'7.TIKR_IS'!$A:$K,COLUMN(I3),FALSE)),"0")</f>
        <v>0</v>
      </c>
      <c r="J40" s="180" t="str">
        <f>IFERROR(ABS(VLOOKUP("EBITDA*",'7.TIKR_IS'!$A:$K,COLUMN(J3),FALSE)),"0")</f>
        <v>0</v>
      </c>
      <c r="K40" s="180" t="str">
        <f>IFERROR(ABS(VLOOKUP("EBITDA*",'7.TIKR_IS'!$A:$K,COLUMN(K3),FALSE)),"0")</f>
        <v>0</v>
      </c>
      <c r="L40" s="218" t="str">
        <f>IFERROR(L41*'1.FFO'!L3,"")</f>
        <v/>
      </c>
      <c r="M40" s="218" t="str">
        <f>IFERROR(M41*'1.FFO'!M3,"")</f>
        <v/>
      </c>
      <c r="N40" s="218" t="str">
        <f>IFERROR(N41*'1.FFO'!N3,"")</f>
        <v/>
      </c>
      <c r="O40" s="218" t="str">
        <f>IFERROR(O41*'1.FFO'!O3,"")</f>
        <v/>
      </c>
      <c r="P40" s="218" t="str">
        <f>IFERROR(P41*'1.FFO'!P3,"")</f>
        <v/>
      </c>
      <c r="Q40" s="202"/>
    </row>
    <row r="41" spans="1:17" x14ac:dyDescent="0.25">
      <c r="A41" t="s">
        <v>142</v>
      </c>
      <c r="B41" s="185" t="str">
        <f>IFERROR(B40/'1.FFO'!B3,"")</f>
        <v/>
      </c>
      <c r="C41" s="185" t="str">
        <f>IFERROR(C40/'1.FFO'!C3,"")</f>
        <v/>
      </c>
      <c r="D41" s="185" t="str">
        <f>IFERROR(D40/'1.FFO'!D3,"")</f>
        <v/>
      </c>
      <c r="E41" s="185" t="str">
        <f>IFERROR(E40/'1.FFO'!E3,"")</f>
        <v/>
      </c>
      <c r="F41" s="185" t="str">
        <f>IFERROR(F40/'1.FFO'!F3,"")</f>
        <v/>
      </c>
      <c r="G41" s="185" t="str">
        <f>IFERROR(G40/'1.FFO'!G3,"")</f>
        <v/>
      </c>
      <c r="H41" s="185" t="str">
        <f>IFERROR(H40/'1.FFO'!H3,"")</f>
        <v/>
      </c>
      <c r="I41" s="185" t="str">
        <f>IFERROR(I40/'1.FFO'!I3,"")</f>
        <v/>
      </c>
      <c r="J41" s="185" t="str">
        <f>IFERROR(J40/'1.FFO'!J3,"")</f>
        <v/>
      </c>
      <c r="K41" s="185" t="str">
        <f>IFERROR(K40/'1.FFO'!K3,"")</f>
        <v/>
      </c>
      <c r="L41" s="219" t="str">
        <f>K41</f>
        <v/>
      </c>
      <c r="M41" s="219" t="str">
        <f t="shared" ref="M41:P41" si="1">L41</f>
        <v/>
      </c>
      <c r="N41" s="219" t="str">
        <f t="shared" si="1"/>
        <v/>
      </c>
      <c r="O41" s="219" t="str">
        <f t="shared" si="1"/>
        <v/>
      </c>
      <c r="P41" s="219" t="str">
        <f t="shared" si="1"/>
        <v/>
      </c>
    </row>
    <row r="42" spans="1:17" x14ac:dyDescent="0.25">
      <c r="A42" t="s">
        <v>0</v>
      </c>
      <c r="B42" s="180" t="str">
        <f>IFERROR(ABS(VLOOKUP("Net Income*",'7.TIKR_IS'!$A:$K,COLUMN(B3),FALSE)),"0")</f>
        <v>0</v>
      </c>
      <c r="C42" s="180" t="str">
        <f>IFERROR(ABS(VLOOKUP("Net Income*",'7.TIKR_IS'!$A:$K,COLUMN(C3),FALSE)),"0")</f>
        <v>0</v>
      </c>
      <c r="D42" s="180" t="str">
        <f>IFERROR(ABS(VLOOKUP("Net Income*",'7.TIKR_IS'!$A:$K,COLUMN(D3),FALSE)),"0")</f>
        <v>0</v>
      </c>
      <c r="E42" s="180" t="str">
        <f>IFERROR(ABS(VLOOKUP("Net Income*",'7.TIKR_IS'!$A:$K,COLUMN(E3),FALSE)),"0")</f>
        <v>0</v>
      </c>
      <c r="F42" s="180" t="str">
        <f>IFERROR(ABS(VLOOKUP("Net Income*",'7.TIKR_IS'!$A:$K,COLUMN(F3),FALSE)),"0")</f>
        <v>0</v>
      </c>
      <c r="G42" s="180" t="str">
        <f>IFERROR(ABS(VLOOKUP("Net Income*",'7.TIKR_IS'!$A:$K,COLUMN(G3),FALSE)),"0")</f>
        <v>0</v>
      </c>
      <c r="H42" s="180" t="str">
        <f>IFERROR(ABS(VLOOKUP("Net Income*",'7.TIKR_IS'!$A:$K,COLUMN(H3),FALSE)),"0")</f>
        <v>0</v>
      </c>
      <c r="I42" s="180" t="str">
        <f>IFERROR(ABS(VLOOKUP("Net Income*",'7.TIKR_IS'!$A:$K,COLUMN(I3),FALSE)),"0")</f>
        <v>0</v>
      </c>
      <c r="J42" s="180" t="str">
        <f>IFERROR(ABS(VLOOKUP("Net Income*",'7.TIKR_IS'!$A:$K,COLUMN(J3),FALSE)),"0")</f>
        <v>0</v>
      </c>
      <c r="K42" s="180" t="str">
        <f>IFERROR(ABS(VLOOKUP("Net Income*",'7.TIKR_IS'!$A:$K,COLUMN(K3),FALSE)),"0")</f>
        <v>0</v>
      </c>
      <c r="L42" s="218" t="str">
        <f>IFERROR(L43*'1.FFO'!L3,"")</f>
        <v/>
      </c>
      <c r="M42" s="218" t="str">
        <f>IFERROR(M43*'1.FFO'!M3,"")</f>
        <v/>
      </c>
      <c r="N42" s="218" t="str">
        <f>IFERROR(N43*'1.FFO'!N3,"")</f>
        <v/>
      </c>
      <c r="O42" s="218" t="str">
        <f>IFERROR(O43*'1.FFO'!O3,"")</f>
        <v/>
      </c>
      <c r="P42" s="218" t="str">
        <f>IFERROR(P43*'1.FFO'!P3,"")</f>
        <v/>
      </c>
    </row>
    <row r="43" spans="1:17" x14ac:dyDescent="0.25">
      <c r="A43" t="s">
        <v>154</v>
      </c>
      <c r="B43" s="185" t="str">
        <f>IFERROR(B42/'1.FFO'!B3,"")</f>
        <v/>
      </c>
      <c r="C43" s="185" t="str">
        <f>IFERROR(C42/'1.FFO'!C3,"")</f>
        <v/>
      </c>
      <c r="D43" s="185" t="str">
        <f>IFERROR(D42/'1.FFO'!D3,"")</f>
        <v/>
      </c>
      <c r="E43" s="185" t="str">
        <f>IFERROR(E42/'1.FFO'!E3,"")</f>
        <v/>
      </c>
      <c r="F43" s="185" t="str">
        <f>IFERROR(F42/'1.FFO'!F3,"")</f>
        <v/>
      </c>
      <c r="G43" s="185" t="str">
        <f>IFERROR(G42/'1.FFO'!G3,"")</f>
        <v/>
      </c>
      <c r="H43" s="185" t="str">
        <f>IFERROR(H42/'1.FFO'!H3,"")</f>
        <v/>
      </c>
      <c r="I43" s="185" t="str">
        <f>IFERROR(I42/'1.FFO'!I3,"")</f>
        <v/>
      </c>
      <c r="J43" s="185" t="str">
        <f>IFERROR(J42/'1.FFO'!J3,"")</f>
        <v/>
      </c>
      <c r="K43" s="185" t="str">
        <f>IFERROR(K42/'1.FFO'!K3,"")</f>
        <v/>
      </c>
      <c r="L43" s="220" t="str">
        <f>K43</f>
        <v/>
      </c>
      <c r="M43" s="219" t="str">
        <f t="shared" ref="M43" si="2">L43</f>
        <v/>
      </c>
      <c r="N43" s="219" t="str">
        <f t="shared" ref="N43" si="3">M43</f>
        <v/>
      </c>
      <c r="O43" s="219" t="str">
        <f t="shared" ref="O43" si="4">N43</f>
        <v/>
      </c>
      <c r="P43" s="219" t="str">
        <f t="shared" ref="P43" si="5">O43</f>
        <v/>
      </c>
    </row>
    <row r="44" spans="1:17" x14ac:dyDescent="0.25">
      <c r="A44" t="s">
        <v>155</v>
      </c>
      <c r="B44" s="180">
        <f>B42*(1-90%)</f>
        <v>0</v>
      </c>
      <c r="C44" s="180">
        <f t="shared" ref="C44:P44" si="6">C42*(1-90%)</f>
        <v>0</v>
      </c>
      <c r="D44" s="180">
        <f t="shared" si="6"/>
        <v>0</v>
      </c>
      <c r="E44" s="180">
        <f t="shared" si="6"/>
        <v>0</v>
      </c>
      <c r="F44" s="180">
        <f t="shared" si="6"/>
        <v>0</v>
      </c>
      <c r="G44" s="180">
        <f t="shared" si="6"/>
        <v>0</v>
      </c>
      <c r="H44" s="180">
        <f t="shared" si="6"/>
        <v>0</v>
      </c>
      <c r="I44" s="180">
        <f t="shared" si="6"/>
        <v>0</v>
      </c>
      <c r="J44" s="180">
        <f t="shared" si="6"/>
        <v>0</v>
      </c>
      <c r="K44" s="180">
        <f t="shared" si="6"/>
        <v>0</v>
      </c>
      <c r="L44" s="218" t="e">
        <f t="shared" si="6"/>
        <v>#VALUE!</v>
      </c>
      <c r="M44" s="218" t="e">
        <f t="shared" si="6"/>
        <v>#VALUE!</v>
      </c>
      <c r="N44" s="218" t="e">
        <f t="shared" si="6"/>
        <v>#VALUE!</v>
      </c>
      <c r="O44" s="218" t="e">
        <f t="shared" si="6"/>
        <v>#VALUE!</v>
      </c>
      <c r="P44" s="218" t="e">
        <f t="shared" si="6"/>
        <v>#VALUE!</v>
      </c>
    </row>
  </sheetData>
  <sheetProtection selectLockedCells="1" selectUnlockedCells="1"/>
  <pageMargins left="0.7" right="0.7" top="0.75" bottom="0.75" header="0.3" footer="0.3"/>
  <ignoredErrors>
    <ignoredError sqref="L41:P41 B42:K42 L42:P42"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1.FFO</vt:lpstr>
      <vt:lpstr>3.ROIC</vt:lpstr>
      <vt:lpstr>4.Valoración</vt:lpstr>
      <vt:lpstr>5.Red Flags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2024-04-15T15:32:30Z</dcterms:modified>
</cp:coreProperties>
</file>